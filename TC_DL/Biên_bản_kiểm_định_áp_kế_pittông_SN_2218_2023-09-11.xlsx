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<sst xmlns="http://schemas.openxmlformats.org/spreadsheetml/2006/main" count="168" uniqueCount="150">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</sst>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(kG/cm2)</t>
        </is>
      </c>
    </row>
    <row r="2" spans="1:7" ht="18.75" x14ac:dyDescent="0.3">
      <c r="A2" s="3" t="s">
        <v>21</v>
      </c>
      <c r="B2" s="15">
        <v>112.62426</v>
      </c>
      <c r="C2" s="19">
        <v>0.675746</v>
      </c>
      <c r="E2" s="19" t="s">
        <v>43</v>
      </c>
      <c r="F2" s="19" t="n">
        <f>IF(E2="",0,VLOOKUP(E2,$A$2:$C$17,2,FALSE))</f>
        <v>11261.93668</v>
      </c>
      <c r="G2" s="19" t="n">
        <f>IF(E2="",0,VLOOKUP(E2,$A$2:$C$17,3,FALSE))</f>
        <v>67.57162</v>
      </c>
    </row>
    <row r="3" spans="1:7" ht="18.75" x14ac:dyDescent="0.3">
      <c r="A3" s="3">
        <v>1</v>
      </c>
      <c r="B3" s="15">
        <v>112.63552</v>
      </c>
      <c r="C3" s="19">
        <v>0.675813</v>
      </c>
      <c r="E3" s="19" t="s">
        <v>41</v>
      </c>
      <c r="F3" s="19" t="n">
        <f>IF(E3="",0,VLOOKUP(E3,$A$2:$C$17,2,FALSE))</f>
        <v>5631.02514</v>
      </c>
      <c r="G3" s="19" t="n">
        <f t="shared" ref="G3:G17" si="0">IF(E3="",0,VLOOKUP(E3,$A$2:$C$17,3,FALSE))</f>
        <v>33.786151</v>
      </c>
    </row>
    <row r="4" spans="1:7" ht="18.75" x14ac:dyDescent="0.3">
      <c r="A4" s="3">
        <v>2</v>
      </c>
      <c r="B4" s="15">
        <v>281.55734</v>
      </c>
      <c r="C4" s="19">
        <v>1.689344</v>
      </c>
      <c r="E4" s="19" t="s">
        <v>42</v>
      </c>
      <c r="F4" s="19" t="n">
        <f t="shared" ref="F4:F17" si="1">IF(E4="",0,VLOOKUP(E4,$A$2:$C$17,2,FALSE))</f>
        <v>5631.58821</v>
      </c>
      <c r="G4" s="19" t="n">
        <f t="shared" si="0"/>
        <v>33.789529</v>
      </c>
    </row>
    <row r="5" spans="1:7" ht="18.75" x14ac:dyDescent="0.3">
      <c r="A5" s="3" t="s">
        <v>22</v>
      </c>
      <c r="B5" s="15">
        <v>281.57141</v>
      </c>
      <c r="C5" s="19">
        <v>1.689428</v>
      </c>
      <c r="E5" s="19" t="s">
        <v>44</v>
      </c>
      <c r="F5" s="19" t="n">
        <f t="shared" si="1"/>
        <v>11262.27451</v>
      </c>
      <c r="G5" s="19" t="n">
        <f t="shared" si="0"/>
        <v>67.573647</v>
      </c>
    </row>
    <row r="6" spans="1:7" ht="18.75" x14ac:dyDescent="0.3">
      <c r="A6" s="3" t="s">
        <v>23</v>
      </c>
      <c r="B6" s="15">
        <v>563.14746</v>
      </c>
      <c r="C6" s="19">
        <v>3.378885</v>
      </c>
      <c r="E6" s="19" t="s">
        <v>45</v>
      </c>
      <c r="F6" s="19" t="n">
        <f t="shared" si="1"/>
        <v>28156.24985</v>
      </c>
      <c r="G6" s="19" t="n">
        <f t="shared" si="0"/>
        <v>168.937499</v>
      </c>
    </row>
    <row r="7" spans="1:7" ht="18.75" x14ac:dyDescent="0.3">
      <c r="A7" s="3">
        <v>10</v>
      </c>
      <c r="B7" s="15">
        <v>563.17561</v>
      </c>
      <c r="C7" s="19">
        <v>3.379054</v>
      </c>
      <c r="E7" s="19" t="s">
        <v>46</v>
      </c>
      <c r="F7" s="19" t="n">
        <f t="shared" si="1"/>
        <v>28159.06516</v>
      </c>
      <c r="G7" s="19" t="n">
        <f t="shared" si="0"/>
        <v>168.954391</v>
      </c>
    </row>
    <row r="8" spans="1:7" ht="18.75" x14ac:dyDescent="0.3">
      <c r="A8" s="3" t="s">
        <v>38</v>
      </c>
      <c r="B8" s="3">
        <v>1126.30618</v>
      </c>
      <c r="C8" s="19">
        <v>6.757837</v>
      </c>
      <c r="E8" s="19" t="s">
        <v>40</v>
      </c>
      <c r="F8" s="19" t="n">
        <f t="shared" si="1"/>
        <v>2815.7936</v>
      </c>
      <c r="G8" s="19" t="n">
        <f t="shared" si="0"/>
        <v>16.894762</v>
      </c>
    </row>
    <row r="9" spans="1:7" ht="18.75" x14ac:dyDescent="0.3">
      <c r="A9" s="3">
        <v>20</v>
      </c>
      <c r="B9" s="16">
        <v>1126.3287</v>
      </c>
      <c r="C9" s="19">
        <v>6.757972</v>
      </c>
      <c r="E9" s="19" t="s">
        <v>39</v>
      </c>
      <c r="F9" s="19" t="n">
        <f t="shared" si="1"/>
        <v>2815.82176</v>
      </c>
      <c r="G9" s="19" t="n">
        <f t="shared" si="0"/>
        <v>16.894931</v>
      </c>
    </row>
    <row r="10" spans="1:7" ht="18.75" x14ac:dyDescent="0.3">
      <c r="A10" s="3" t="s">
        <v>40</v>
      </c>
      <c r="B10" s="16">
        <v>2815.7936</v>
      </c>
      <c r="C10" s="19">
        <v>16.894762</v>
      </c>
      <c r="E10" s="19">
        <v>20</v>
      </c>
      <c r="F10" s="19" t="n">
        <f t="shared" si="1"/>
        <v>1126.3287</v>
      </c>
      <c r="G10" s="19" t="n">
        <f t="shared" si="0"/>
        <v>6.757972</v>
      </c>
    </row>
    <row r="11" spans="1:7" ht="18.75" x14ac:dyDescent="0.3">
      <c r="A11" s="3" t="s">
        <v>39</v>
      </c>
      <c r="B11" s="16">
        <v>2815.82176</v>
      </c>
      <c r="C11" s="19">
        <v>16.894931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5631.02514</v>
      </c>
      <c r="C12" s="19">
        <v>33.786151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5631.58821</v>
      </c>
      <c r="C13" s="19">
        <v>33.789529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11261.93668</v>
      </c>
      <c r="C14" s="19">
        <v>67.57162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11262.27451</v>
      </c>
      <c r="C15" s="19">
        <v>67.573647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28156.24985</v>
      </c>
      <c r="C16" s="19">
        <v>168.937499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28159.06516</v>
      </c>
      <c r="C17" s="19">
        <v>168.954391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96860.08361</v>
      </c>
      <c r="G18" s="18" t="n">
        <f>SUM(G2:G17)</f>
        <v>581.160502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11 tháng 09 năm 2023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006/2023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56.31614</v>
      </c>
      <c r="M7" s="15" t="n">
        <f>(100*L7)/(100+N7)</f>
        <v>56.3060049191146</v>
      </c>
      <c r="N7" s="23">
        <v>0.018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56.31107</v>
      </c>
      <c r="M8" s="15" t="n">
        <f t="shared" ref="M8:M24" si="0">(100*L8)/(100+N8)</f>
        <v>56.3060024597786</v>
      </c>
      <c r="N8" s="23">
        <v>0.009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МП-600</t>
        </is>
      </c>
      <c r="D9" s="4"/>
      <c r="E9" s="4"/>
      <c r="F9" s="4" t="s">
        <v>8</v>
      </c>
      <c r="G9" s="10" t="inlineStr">
        <is>
          <t xml:space="preserve">2218</t>
        </is>
      </c>
      <c r="H9" s="4"/>
      <c r="I9" s="4"/>
      <c r="J9" s="3">
        <v>3</v>
      </c>
      <c r="K9" s="3" t="inlineStr">
        <is>
          <t xml:space="preserve">3</t>
        </is>
      </c>
      <c r="L9" s="15">
        <v>112.63552</v>
      </c>
      <c r="M9" s="15" t="n">
        <f t="shared" si="0"/>
        <v>112.61299740052</v>
      </c>
      <c r="N9" s="23">
        <v>0.02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Nga</t>
        </is>
      </c>
      <c r="J10" s="3">
        <v>4</v>
      </c>
      <c r="K10" s="3" t="inlineStr">
        <is>
          <t xml:space="preserve">4</t>
        </is>
      </c>
      <c r="L10" s="15">
        <v>112.62426</v>
      </c>
      <c r="M10" s="15" t="n">
        <f t="shared" ref="M10" si="1">(100*L10)/(100+N10)</f>
        <v>112.61299870013</v>
      </c>
      <c r="N10" s="23">
        <v>0.01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281.55734</v>
      </c>
      <c r="M11" s="15" t="n">
        <f>(100*L11)/(100+N11)</f>
        <v>281.532002119809</v>
      </c>
      <c r="N11" s="23">
        <v>0.009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(10 đến 600) kgf/cm2;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281.57141</v>
      </c>
      <c r="M12" s="15" t="n">
        <f t="shared" si="0"/>
        <v>281.531995520627</v>
      </c>
      <c r="N12" s="23">
        <v>0.014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563.14746</v>
      </c>
      <c r="M13" s="15" t="n">
        <f t="shared" si="0"/>
        <v>563.063000549918</v>
      </c>
      <c r="N13" s="23">
        <v>0.015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Nhà máy Nhiệt điện Sông Lam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563.17561</v>
      </c>
      <c r="M14" s="15" t="n">
        <f t="shared" si="0"/>
        <v>563.06299740052</v>
      </c>
      <c r="N14" s="23">
        <v>0.02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1126.30618</v>
      </c>
      <c r="M15" s="15" t="n">
        <f t="shared" si="0"/>
        <v>1126.12599984003</v>
      </c>
      <c r="N15" s="23">
        <v>0.016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1126.3287</v>
      </c>
      <c r="M16" s="15" t="n">
        <f t="shared" si="0"/>
        <v>1126.12599732048</v>
      </c>
      <c r="N16" s="23">
        <v>0.018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2815.7936</v>
      </c>
      <c r="M17" s="15" t="n">
        <f t="shared" si="0"/>
        <v>2815.3149964506</v>
      </c>
      <c r="N17" s="23">
        <v>0.017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(22 ± 2) ºC</t>
        </is>
      </c>
      <c r="F18" s="10"/>
      <c r="J18" s="3">
        <v>12</v>
      </c>
      <c r="K18" s="3" t="inlineStr">
        <is>
          <t xml:space="preserve">12</t>
        </is>
      </c>
      <c r="L18" s="15">
        <v>2815.82176</v>
      </c>
      <c r="M18" s="15" t="n">
        <f t="shared" si="0"/>
        <v>2815.31500329941</v>
      </c>
      <c r="N18" s="23">
        <v>0.018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(63 ± 5) %RH</t>
        </is>
      </c>
      <c r="F19" s="10"/>
      <c r="J19" s="3">
        <v>13</v>
      </c>
      <c r="K19" s="3" t="inlineStr">
        <is>
          <t xml:space="preserve">13</t>
        </is>
      </c>
      <c r="L19" s="15">
        <v>5631.58821</v>
      </c>
      <c r="M19" s="15" t="n">
        <f t="shared" si="0"/>
        <v>5630.63100272954</v>
      </c>
      <c r="N19" s="23">
        <v>0.017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45180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5631.02514</v>
      </c>
      <c r="M20" s="15" t="n">
        <f t="shared" si="0"/>
        <v>5630.63099583029</v>
      </c>
      <c r="N20" s="23">
        <v>0.007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11261.93668</v>
      </c>
      <c r="M21" s="15" t="n">
        <f t="shared" si="0"/>
        <v>11261.2610043397</v>
      </c>
      <c r="N21" s="23">
        <v>0.006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11262.27451</v>
      </c>
      <c r="M22" s="15" t="n">
        <f t="shared" si="0"/>
        <v>11261.2609965103</v>
      </c>
      <c r="N22" s="3">
        <v>0.009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28159.06516</v>
      </c>
      <c r="M23" s="15" t="n">
        <f t="shared" si="0"/>
        <v>28153.1529978704</v>
      </c>
      <c r="N23" s="3">
        <v>0.021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28156.24985</v>
      </c>
      <c r="M24" s="62" t="n">
        <f t="shared" si="0"/>
        <v>28153.1530031697</v>
      </c>
      <c r="N24" s="61">
        <v>0.011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Nguyễn Thị Lan</t>
        </is>
      </c>
      <c r="C40" s="88"/>
      <c r="D40" s="88"/>
      <c r="E40" s="88"/>
      <c r="F40" s="88" t="inlineStr">
        <is>
          <t xml:space="preserve">Đỗ Hải Yến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2.2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23.4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207.6</v>
      </c>
      <c r="B60" s="70"/>
      <c r="C60" s="70"/>
      <c r="D60" s="70">
        <v>207.0</v>
      </c>
      <c r="E60" s="70"/>
      <c r="F60" s="70">
        <v>207.3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0.35</v>
      </c>
      <c r="B66" s="73"/>
      <c r="C66" s="72">
        <v>0.37</v>
      </c>
      <c r="D66" s="73"/>
      <c r="E66" s="3">
        <v>0.35</v>
      </c>
      <c r="F66" s="70">
        <v>0.357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(kG/cm2)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1.6632715215355567e-05</v>
      </c>
    </row>
    <row r="6" spans="1:14" ht="18.600000000000001" customHeight="1" x14ac:dyDescent="0.25">
      <c r="A6" s="13">
        <v>1</v>
      </c>
      <c r="B6" s="46">
        <v>60.0</v>
      </c>
      <c r="C6" s="47" t="inlineStr">
        <is>
          <t xml:space="preserve">11,12</t>
        </is>
      </c>
      <c r="D6" s="49">
        <v>9999.951</v>
      </c>
      <c r="E6" s="22">
        <v>0.049</v>
      </c>
      <c r="F6" s="49" t="n">
        <f>D6+E6</f>
        <v>10000</v>
      </c>
      <c r="G6" s="51">
        <v>1010.28</v>
      </c>
      <c r="H6" s="46">
        <v>58.2</v>
      </c>
      <c r="I6" s="46">
        <v>20.3</v>
      </c>
      <c r="M6" s="21" t="e">
        <f>B6*#REF!</f>
        <v>#NAME?</v>
      </c>
      <c r="N6" s="50" t="n">
        <f>$N$5*D6/'Tính toán'!$D$3</f>
        <v>2063.29756711491</v>
      </c>
    </row>
    <row r="7" spans="1:14" ht="18.600000000000001" customHeight="1" x14ac:dyDescent="0.25">
      <c r="A7" s="13">
        <v>2</v>
      </c>
      <c r="B7" s="46">
        <v>120.0</v>
      </c>
      <c r="C7" s="47" t="inlineStr">
        <is>
          <t xml:space="preserve">12,15</t>
        </is>
      </c>
      <c r="D7" s="49">
        <v>19999.972</v>
      </c>
      <c r="E7" s="22">
        <v>0.028</v>
      </c>
      <c r="F7" s="49" t="n">
        <f t="shared" ref="F7:F15" si="0">D7+E7</f>
        <v>20000</v>
      </c>
      <c r="G7" s="51">
        <v>1009.58</v>
      </c>
      <c r="H7" s="46">
        <v>60.8</v>
      </c>
      <c r="I7" s="46">
        <v>20.7</v>
      </c>
      <c r="M7" s="21" t="e">
        <f>B7*#REF!</f>
        <v>#NAME?</v>
      </c>
      <c r="N7" s="1" t="n">
        <f>$N$5*D7/'Tính toán'!$D$3</f>
        <v>4126.60957738355</v>
      </c>
    </row>
    <row r="8" spans="1:14" ht="18.600000000000001" customHeight="1" x14ac:dyDescent="0.25">
      <c r="A8" s="13">
        <v>3</v>
      </c>
      <c r="B8" s="46">
        <v>180.0</v>
      </c>
      <c r="C8" s="47" t="inlineStr">
        <is>
          <t xml:space="preserve">7,8,16,17</t>
        </is>
      </c>
      <c r="D8" s="49">
        <v>29999.995</v>
      </c>
      <c r="E8" s="22">
        <v>0.005</v>
      </c>
      <c r="F8" s="49" t="n">
        <f t="shared" si="0"/>
        <v>30000</v>
      </c>
      <c r="G8" s="51">
        <v>1011.08</v>
      </c>
      <c r="H8" s="46">
        <v>60.4</v>
      </c>
      <c r="I8" s="46">
        <v>20.4</v>
      </c>
      <c r="M8" s="21" t="e">
        <f>B8*#REF!</f>
        <v>#NAME?</v>
      </c>
      <c r="N8" s="1" t="n">
        <f>$N$5*D8/'Tính toán'!$D$3</f>
        <v>6189.92200031374</v>
      </c>
    </row>
    <row r="9" spans="1:14" ht="18.600000000000001" customHeight="1" x14ac:dyDescent="0.25">
      <c r="A9" s="13">
        <v>4</v>
      </c>
      <c r="B9" s="46">
        <v>240.0</v>
      </c>
      <c r="C9" s="47" t="inlineStr">
        <is>
          <t xml:space="preserve">2,3,6,10</t>
        </is>
      </c>
      <c r="D9" s="49">
        <v>39999.96</v>
      </c>
      <c r="E9" s="22">
        <v>0.04</v>
      </c>
      <c r="F9" s="49" t="n">
        <f t="shared" si="0"/>
        <v>40000</v>
      </c>
      <c r="G9" s="51">
        <v>1007.64</v>
      </c>
      <c r="H9" s="46">
        <v>62.9</v>
      </c>
      <c r="I9" s="46">
        <v>19.3</v>
      </c>
      <c r="M9" s="21" t="e">
        <f>B9*#REF!</f>
        <v>#NAME?</v>
      </c>
      <c r="N9" s="1" t="n">
        <f>$N$5*D9/'Tính toán'!$D$3</f>
        <v>8253.22245605939</v>
      </c>
    </row>
    <row r="10" spans="1:14" ht="18.600000000000001" customHeight="1" x14ac:dyDescent="0.25">
      <c r="A10" s="13">
        <v>5</v>
      </c>
      <c r="B10" s="46">
        <v>300.0</v>
      </c>
      <c r="C10" s="47" t="inlineStr">
        <is>
          <t xml:space="preserve">3,4,7</t>
        </is>
      </c>
      <c r="D10" s="49">
        <v>49999.99</v>
      </c>
      <c r="E10" s="22">
        <v>0.01</v>
      </c>
      <c r="F10" s="49" t="n">
        <f t="shared" si="0"/>
        <v>50000</v>
      </c>
      <c r="G10" s="51">
        <v>1007.69</v>
      </c>
      <c r="H10" s="46">
        <v>59.5</v>
      </c>
      <c r="I10" s="46">
        <v>19.5</v>
      </c>
      <c r="M10" s="21" t="e">
        <f>B10*#REF!</f>
        <v>#NAME?</v>
      </c>
      <c r="N10" s="1" t="n">
        <f>$N$5*D10/'Tính toán'!$D$3</f>
        <v>10316.5363233049</v>
      </c>
    </row>
    <row r="11" spans="1:14" ht="18.600000000000001" customHeight="1" x14ac:dyDescent="0.25">
      <c r="A11" s="13">
        <v>6</v>
      </c>
      <c r="B11" s="46">
        <v>360.0</v>
      </c>
      <c r="C11" s="47" t="inlineStr">
        <is>
          <t xml:space="preserve">1,9,11,13</t>
        </is>
      </c>
      <c r="D11" s="49">
        <v>59999.984</v>
      </c>
      <c r="E11" s="22">
        <v>0.016</v>
      </c>
      <c r="F11" s="49" t="n">
        <f t="shared" si="0"/>
        <v>60000</v>
      </c>
      <c r="G11" s="51">
        <v>1004.44</v>
      </c>
      <c r="H11" s="46">
        <v>63.1</v>
      </c>
      <c r="I11" s="46">
        <v>19.2</v>
      </c>
      <c r="M11" s="21" t="e">
        <f>B11*#REF!</f>
        <v>#NAME?</v>
      </c>
      <c r="N11" s="1" t="n">
        <f>$N$5*D11/'Tính toán'!$D$4</f>
        <v>247577.506517856</v>
      </c>
    </row>
    <row r="12" spans="1:14" ht="18.600000000000001" customHeight="1" x14ac:dyDescent="0.25">
      <c r="A12" s="13">
        <v>7</v>
      </c>
      <c r="B12" s="46">
        <v>420.0</v>
      </c>
      <c r="C12" s="47" t="inlineStr">
        <is>
          <t xml:space="preserve">8,13,17</t>
        </is>
      </c>
      <c r="D12" s="49">
        <v>69999.955</v>
      </c>
      <c r="E12" s="22">
        <v>0.045</v>
      </c>
      <c r="F12" s="49" t="n">
        <f t="shared" si="0"/>
        <v>70000</v>
      </c>
      <c r="G12" s="51">
        <v>1011.58</v>
      </c>
      <c r="H12" s="46">
        <v>64.2</v>
      </c>
      <c r="I12" s="46">
        <v>20.4</v>
      </c>
    </row>
    <row r="13" spans="1:14" s="32" customFormat="1" ht="22.5" customHeight="1" x14ac:dyDescent="0.25">
      <c r="A13" s="13">
        <v>8</v>
      </c>
      <c r="B13" s="46">
        <v>480.0</v>
      </c>
      <c r="C13" s="47" t="inlineStr">
        <is>
          <t xml:space="preserve">7,8,15</t>
        </is>
      </c>
      <c r="D13" s="49">
        <v>79999.98</v>
      </c>
      <c r="E13" s="22">
        <v>0.02</v>
      </c>
      <c r="F13" s="49" t="n">
        <f t="shared" si="0"/>
        <v>80000</v>
      </c>
      <c r="G13" s="51">
        <v>1005.53</v>
      </c>
      <c r="H13" s="46">
        <v>63.5</v>
      </c>
      <c r="I13" s="60">
        <v>19.5</v>
      </c>
      <c r="J13" s="40"/>
    </row>
    <row r="14" spans="1:14" s="34" customFormat="1" ht="22.5" customHeight="1" x14ac:dyDescent="0.25">
      <c r="A14" s="13">
        <v>9</v>
      </c>
      <c r="B14" s="46">
        <v>540.0</v>
      </c>
      <c r="C14" s="47" t="inlineStr">
        <is>
          <t xml:space="preserve">4,5</t>
        </is>
      </c>
      <c r="D14" s="49">
        <v>89999.992</v>
      </c>
      <c r="E14" s="22">
        <v>0.008</v>
      </c>
      <c r="F14" s="49" t="n">
        <f t="shared" si="0"/>
        <v>90000</v>
      </c>
      <c r="G14" s="51">
        <v>1005.19</v>
      </c>
      <c r="H14" s="46">
        <v>63.4</v>
      </c>
      <c r="I14" s="60">
        <v>19.4</v>
      </c>
      <c r="J14" s="40"/>
    </row>
    <row r="15" spans="1:14" s="35" customFormat="1" ht="22.5" customHeight="1" x14ac:dyDescent="0.25">
      <c r="A15" s="52">
        <v>10</v>
      </c>
      <c r="B15" s="53">
        <v>600.0</v>
      </c>
      <c r="C15" s="47" t="inlineStr">
        <is>
          <t xml:space="preserve">5,9,18</t>
        </is>
      </c>
      <c r="D15" s="49">
        <v>99999.994</v>
      </c>
      <c r="E15" s="22">
        <v>0.006</v>
      </c>
      <c r="F15" s="49" t="n">
        <f t="shared" si="0"/>
        <v>100000</v>
      </c>
      <c r="G15" s="51">
        <v>1015.25</v>
      </c>
      <c r="H15" s="46">
        <v>60.6</v>
      </c>
      <c r="I15" s="60">
        <v>20.6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0,16633 × 10-4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189,000 × 10-3 (kG/cm2) </t>
        </is>
      </c>
      <c r="F18" s="31" t="inlineStr">
        <is>
          <t xml:space="preserve">tại p = 420,0 kG/cm2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378,000 × 10-3 (kG/cm2)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1.6632715215355567e-05</v>
      </c>
      <c r="J3" s="45">
        <v>1.6632715215355567e-05</v>
      </c>
      <c r="K3" s="45">
        <v>1.6632715215355567e-05</v>
      </c>
      <c r="L3" s="45">
        <v>1.6632715215355567e-05</v>
      </c>
      <c r="M3" s="45">
        <v>1.6632715215355567e-05</v>
      </c>
      <c r="R3" s="3">
        <v>1</v>
      </c>
      <c r="S3" s="15">
        <v>56.31614</v>
      </c>
      <c r="T3" t="n">
        <f>(S3*0.001*9.786673*0.00001)/1.6632715215355567e-05</f>
        <v>0.3313636045986</v>
      </c>
      <c r="U3" t="n">
        <f>(S3*0.001*0.0001)/1.6632715215355567e-05</f>
        <v>0.338586570327424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56.31107</v>
      </c>
      <c r="T4" t="n">
        <f t="shared" ref="T4:T20" si="0">(S4*0.001*9.786673*0.00001)/1.6632715215355567e-05</f>
        <v>0.3313337727693</v>
      </c>
      <c r="U4" t="n">
        <f t="shared" ref="U4:U20" si="1">(S4*0.001*0.0001)/1.6632715215355567e-05</f>
        <v>0.338556088232743</v>
      </c>
    </row>
    <row r="5" spans="1:21" ht="16.5" x14ac:dyDescent="0.25">
      <c r="H5" t="s">
        <v>113</v>
      </c>
      <c r="I5" s="45" t="n">
        <f>(I4*9.786673*0.00001)/I3</f>
        <v>58.8399</v>
      </c>
      <c r="J5" t="n">
        <f t="shared" ref="J5:M5" si="2">(J4*9.786673*0.00001)/J3</f>
        <v>5.295591</v>
      </c>
      <c r="K5" t="n">
        <f t="shared" si="2"/>
        <v>7.060788</v>
      </c>
      <c r="L5" t="n">
        <f t="shared" si="2"/>
        <v>11.76798</v>
      </c>
      <c r="M5" t="n">
        <f t="shared" si="2"/>
        <v>2.353596</v>
      </c>
      <c r="N5" t="n">
        <f>SUM(I5:M5)</f>
        <v>85.317855</v>
      </c>
      <c r="R5" s="3">
        <v>3</v>
      </c>
      <c r="S5" s="15">
        <v>112.63552</v>
      </c>
      <c r="T5" t="n">
        <f t="shared" si="0"/>
        <v>0.6627462733248</v>
      </c>
      <c r="U5" t="n">
        <f t="shared" si="1"/>
        <v>0.677192620336656</v>
      </c>
    </row>
    <row r="6" spans="1:21" ht="16.5" x14ac:dyDescent="0.25">
      <c r="R6" s="3">
        <v>4</v>
      </c>
      <c r="S6" s="15">
        <v>112.62426</v>
      </c>
      <c r="T6" t="n">
        <f t="shared" si="0"/>
        <v>0.6626800195974</v>
      </c>
      <c r="U6" t="n">
        <f t="shared" si="1"/>
        <v>0.677124922430125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645.069753636364</v>
      </c>
      <c r="R7" s="3">
        <v>5</v>
      </c>
      <c r="S7" s="15">
        <v>281.55734</v>
      </c>
      <c r="T7" t="n">
        <f t="shared" si="0"/>
        <v>1.6566805729866</v>
      </c>
      <c r="U7" t="n">
        <f t="shared" si="1"/>
        <v>1.69279240553618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281.57141</v>
      </c>
      <c r="T8" t="n">
        <f t="shared" si="0"/>
        <v>1.6567633607259</v>
      </c>
      <c r="U8" t="n">
        <f t="shared" si="1"/>
        <v>1.69287699785811</v>
      </c>
    </row>
    <row r="9" spans="1:21" ht="16.5" x14ac:dyDescent="0.25">
      <c r="H9" t="s">
        <v>147</v>
      </c>
      <c r="I9" t="n">
        <f>(0.99985*I7*B7)/I8</f>
        <v>0.0128994598634664</v>
      </c>
      <c r="R9" s="3">
        <v>7</v>
      </c>
      <c r="S9" s="15">
        <v>563.14746</v>
      </c>
      <c r="T9" t="n">
        <f t="shared" si="0"/>
        <v>3.3135540231654</v>
      </c>
      <c r="U9" t="n">
        <f t="shared" si="1"/>
        <v>3.38578189254448</v>
      </c>
    </row>
    <row r="10" spans="1:21" ht="16.5" x14ac:dyDescent="0.25">
      <c r="R10" s="3">
        <v>8</v>
      </c>
      <c r="S10" s="15">
        <v>563.17561</v>
      </c>
      <c r="T10" t="n">
        <f t="shared" si="0"/>
        <v>3.3137196574839</v>
      </c>
      <c r="U10" t="n">
        <f t="shared" si="1"/>
        <v>3.38595113731081</v>
      </c>
    </row>
    <row r="11" spans="1:21" ht="16.5" x14ac:dyDescent="0.25">
      <c r="R11" s="3">
        <v>9</v>
      </c>
      <c r="S11" s="15">
        <v>1126.30618</v>
      </c>
      <c r="T11" t="n">
        <f t="shared" si="0"/>
        <v>6.6271743000582</v>
      </c>
      <c r="U11" t="n">
        <f t="shared" si="1"/>
        <v>6.7716314829955</v>
      </c>
    </row>
    <row r="12" spans="1:21" ht="16.5" x14ac:dyDescent="0.25">
      <c r="R12" s="3">
        <v>10</v>
      </c>
      <c r="S12" s="15">
        <v>1126.3287</v>
      </c>
      <c r="T12" t="n">
        <f t="shared" si="0"/>
        <v>6.627306807513</v>
      </c>
      <c r="U12" t="n">
        <f t="shared" si="1"/>
        <v>6.77176687880856</v>
      </c>
    </row>
    <row r="13" spans="1:21" ht="16.5" x14ac:dyDescent="0.25">
      <c r="R13" s="3">
        <v>11</v>
      </c>
      <c r="S13" s="15">
        <v>2815.7936</v>
      </c>
      <c r="T13" t="n">
        <f t="shared" si="0"/>
        <v>16.568101384464</v>
      </c>
      <c r="U13" t="n">
        <f t="shared" si="1"/>
        <v>16.9292479522551</v>
      </c>
    </row>
    <row r="14" spans="1:21" ht="16.5" x14ac:dyDescent="0.25">
      <c r="R14" s="3">
        <v>12</v>
      </c>
      <c r="S14" s="15">
        <v>2815.82176</v>
      </c>
      <c r="T14" t="n">
        <f t="shared" si="0"/>
        <v>16.5682670776224</v>
      </c>
      <c r="U14" t="n">
        <f t="shared" si="1"/>
        <v>16.9294172571439</v>
      </c>
    </row>
    <row r="15" spans="1:21" ht="16.5" x14ac:dyDescent="0.25">
      <c r="R15" s="3">
        <v>13</v>
      </c>
      <c r="S15" s="15">
        <v>5631.58821</v>
      </c>
      <c r="T15" t="n">
        <f t="shared" si="0"/>
        <v>33.1362087117579</v>
      </c>
      <c r="U15" t="n">
        <f t="shared" si="1"/>
        <v>33.8585019768801</v>
      </c>
    </row>
    <row r="16" spans="1:21" ht="16.5" x14ac:dyDescent="0.25">
      <c r="R16" s="3">
        <v>14</v>
      </c>
      <c r="S16" s="15">
        <v>5631.02514</v>
      </c>
      <c r="T16" t="n">
        <f t="shared" si="0"/>
        <v>33.1328956135086</v>
      </c>
      <c r="U16" t="n">
        <f t="shared" si="1"/>
        <v>33.8551166606962</v>
      </c>
    </row>
    <row r="17" spans="15:21" ht="16.5" x14ac:dyDescent="0.25">
      <c r="R17" s="3">
        <v>15</v>
      </c>
      <c r="S17" s="15">
        <v>11261.93668</v>
      </c>
      <c r="T17" t="n">
        <f t="shared" si="0"/>
        <v>66.2651228057532</v>
      </c>
      <c r="U17" t="n">
        <f t="shared" si="1"/>
        <v>67.7095503300797</v>
      </c>
    </row>
    <row r="18" spans="15:21" ht="16.5" x14ac:dyDescent="0.25">
      <c r="R18" s="3">
        <v>16</v>
      </c>
      <c r="S18" s="15">
        <v>11262.27451</v>
      </c>
      <c r="T18" t="n">
        <f t="shared" si="0"/>
        <v>66.2671105940949</v>
      </c>
      <c r="U18" t="n">
        <f t="shared" si="1"/>
        <v>67.711581447643</v>
      </c>
    </row>
    <row r="19" spans="15:21" ht="16.5" x14ac:dyDescent="0.25">
      <c r="R19" s="3">
        <v>17</v>
      </c>
      <c r="S19" s="15">
        <v>28159.06516</v>
      </c>
      <c r="T19" t="n">
        <f t="shared" si="0"/>
        <v>165.687657810788</v>
      </c>
      <c r="U19" t="n">
        <f t="shared" si="1"/>
        <v>169.299268311906</v>
      </c>
    </row>
    <row r="20" spans="15:21" ht="16.5" x14ac:dyDescent="0.25">
      <c r="R20" s="3" t="s">
        <v>108</v>
      </c>
      <c r="S20" s="15">
        <v>28156.24985</v>
      </c>
      <c r="T20" t="n">
        <f t="shared" si="0"/>
        <v>165.671092554902</v>
      </c>
      <c r="U20" t="n">
        <f t="shared" si="1"/>
        <v>169.282341971476</v>
      </c>
    </row>
    <row r="21" spans="15:21" x14ac:dyDescent="0.25">
      <c r="O21" s="48" t="n">
        <f>S3+S4+S5+S6+S7+S8</f>
        <v>901.01574</v>
      </c>
      <c r="S21" s="48" t="n">
        <f>AVERAGE(S3:S13)</f>
        <v>645.069753636364</v>
      </c>
      <c r="T21" t="n">
        <f>SUM(T3:T20)</f>
        <v>588.479778945114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