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<sst xmlns="http://schemas.openxmlformats.org/spreadsheetml/2006/main" count="168" uniqueCount="150">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</sst>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(MPa)</t>
        </is>
      </c>
    </row>
    <row r="2" spans="1:7" ht="18.75" x14ac:dyDescent="0.3">
      <c r="A2" s="3" t="s">
        <v>21</v>
      </c>
      <c r="B2" s="15">
        <v>5.63106</v>
      </c>
      <c r="C2" s="19">
        <v>0.00045</v>
      </c>
      <c r="E2" s="19" t="s">
        <v>43</v>
      </c>
      <c r="F2" s="19" t="n">
        <f>IF(E2="",0,VLOOKUP(E2,$A$2:$C$17,2,FALSE))</f>
        <v>563.06863</v>
      </c>
      <c r="G2" s="19" t="n">
        <f>IF(E2="",0,VLOOKUP(E2,$A$2:$C$17,3,FALSE))</f>
        <v>0.045045</v>
      </c>
    </row>
    <row r="3" spans="1:7" ht="18.75" x14ac:dyDescent="0.3">
      <c r="A3" s="3">
        <v>1</v>
      </c>
      <c r="B3" s="15">
        <v>5.63123</v>
      </c>
      <c r="C3" s="19">
        <v>0.00045</v>
      </c>
      <c r="E3" s="19" t="s">
        <v>41</v>
      </c>
      <c r="F3" s="19" t="n">
        <f>IF(E3="",0,VLOOKUP(E3,$A$2:$C$17,2,FALSE))</f>
        <v>281.54045</v>
      </c>
      <c r="G3" s="19" t="n">
        <f t="shared" ref="G3:G17" si="0">IF(E3="",0,VLOOKUP(E3,$A$2:$C$17,3,FALSE))</f>
        <v>0.022523</v>
      </c>
    </row>
    <row r="4" spans="1:7" ht="18.75" x14ac:dyDescent="0.3">
      <c r="A4" s="3">
        <v>2</v>
      </c>
      <c r="B4" s="15">
        <v>14.07714</v>
      </c>
      <c r="C4" s="19">
        <v>0.001126</v>
      </c>
      <c r="E4" s="19" t="s">
        <v>42</v>
      </c>
      <c r="F4" s="19" t="n">
        <f t="shared" ref="F4:F17" si="1">IF(E4="",0,VLOOKUP(E4,$A$2:$C$17,2,FALSE))</f>
        <v>281.54608</v>
      </c>
      <c r="G4" s="19" t="n">
        <f t="shared" si="0"/>
        <v>0.022524</v>
      </c>
    </row>
    <row r="5" spans="1:7" ht="18.75" x14ac:dyDescent="0.3">
      <c r="A5" s="3" t="s">
        <v>22</v>
      </c>
      <c r="B5" s="15">
        <v>14.07742</v>
      </c>
      <c r="C5" s="19">
        <v>0.001126</v>
      </c>
      <c r="E5" s="19" t="s">
        <v>44</v>
      </c>
      <c r="F5" s="19" t="n">
        <f t="shared" si="1"/>
        <v>563.07426</v>
      </c>
      <c r="G5" s="19" t="n">
        <f t="shared" si="0"/>
        <v>0.045046</v>
      </c>
    </row>
    <row r="6" spans="1:7" ht="18.75" x14ac:dyDescent="0.3">
      <c r="A6" s="3" t="s">
        <v>23</v>
      </c>
      <c r="B6" s="15">
        <v>28.15328</v>
      </c>
      <c r="C6" s="19">
        <v>0.002252</v>
      </c>
      <c r="E6" s="19" t="s">
        <v>45</v>
      </c>
      <c r="F6" s="19" t="n">
        <f t="shared" si="1"/>
        <v>1407.70023</v>
      </c>
      <c r="G6" s="19" t="n">
        <f t="shared" si="0"/>
        <v>0.112616</v>
      </c>
    </row>
    <row r="7" spans="1:7" ht="18.75" x14ac:dyDescent="0.3">
      <c r="A7" s="3">
        <v>10</v>
      </c>
      <c r="B7" s="15">
        <v>28.15384</v>
      </c>
      <c r="C7" s="19">
        <v>0.002252</v>
      </c>
      <c r="E7" s="19" t="s">
        <v>46</v>
      </c>
      <c r="F7" s="19" t="n">
        <f t="shared" si="1"/>
        <v>1407.71431</v>
      </c>
      <c r="G7" s="19" t="n">
        <f t="shared" si="0"/>
        <v>0.112617</v>
      </c>
    </row>
    <row r="8" spans="1:7" ht="18.75" x14ac:dyDescent="0.3">
      <c r="A8" s="3" t="s">
        <v>38</v>
      </c>
      <c r="B8" s="3">
        <v>56.30656</v>
      </c>
      <c r="C8" s="19">
        <v>0.004505</v>
      </c>
      <c r="E8" s="19" t="s">
        <v>40</v>
      </c>
      <c r="F8" s="19" t="n">
        <f t="shared" si="1"/>
        <v>140.77022</v>
      </c>
      <c r="G8" s="19" t="n">
        <f t="shared" si="0"/>
        <v>0.011262</v>
      </c>
    </row>
    <row r="9" spans="1:7" ht="18.75" x14ac:dyDescent="0.3">
      <c r="A9" s="3">
        <v>20</v>
      </c>
      <c r="B9" s="16">
        <v>56.30656</v>
      </c>
      <c r="C9" s="19">
        <v>0.004505</v>
      </c>
      <c r="E9" s="19" t="s">
        <v>39</v>
      </c>
      <c r="F9" s="19" t="n">
        <f t="shared" si="1"/>
        <v>140.77163</v>
      </c>
      <c r="G9" s="19" t="n">
        <f t="shared" si="0"/>
        <v>0.011262</v>
      </c>
    </row>
    <row r="10" spans="1:7" ht="18.75" x14ac:dyDescent="0.3">
      <c r="A10" s="3" t="s">
        <v>40</v>
      </c>
      <c r="B10" s="16">
        <v>140.77022</v>
      </c>
      <c r="C10" s="19">
        <v>0.011262</v>
      </c>
      <c r="E10" s="19">
        <v>20</v>
      </c>
      <c r="F10" s="19" t="n">
        <f t="shared" si="1"/>
        <v>56.30656</v>
      </c>
      <c r="G10" s="19" t="n">
        <f t="shared" si="0"/>
        <v>0.004505</v>
      </c>
    </row>
    <row r="11" spans="1:7" ht="18.75" x14ac:dyDescent="0.3">
      <c r="A11" s="3" t="s">
        <v>39</v>
      </c>
      <c r="B11" s="16">
        <v>140.77163</v>
      </c>
      <c r="C11" s="19">
        <v>0.011262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281.54045</v>
      </c>
      <c r="C12" s="19">
        <v>0.022523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281.54608</v>
      </c>
      <c r="C13" s="19">
        <v>0.022524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563.06863</v>
      </c>
      <c r="C14" s="19">
        <v>0.045045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563.07426</v>
      </c>
      <c r="C15" s="19">
        <v>0.045046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1407.70023</v>
      </c>
      <c r="C16" s="19">
        <v>0.112616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1407.71431</v>
      </c>
      <c r="C17" s="19">
        <v>0.112617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4842.49237</v>
      </c>
      <c r="G18" s="18" t="n">
        <f>SUM(G2:G17)</f>
        <v>0.3874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22 tháng 04 năm 2026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019/2026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2.81508</v>
      </c>
      <c r="M7" s="15" t="n">
        <f>(100*L7)/(100+N7)</f>
        <v>2.8149955501335</v>
      </c>
      <c r="N7" s="23">
        <v>0.003</v>
      </c>
      <c r="O7" s="3">
        <v>0.0075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2.81503</v>
      </c>
      <c r="M8" s="15" t="n">
        <f t="shared" ref="M8:M24" si="0">(100*L8)/(100+N8)</f>
        <v>2.8150018499815</v>
      </c>
      <c r="N8" s="23">
        <v>0.001</v>
      </c>
      <c r="O8" s="3">
        <v>0.0075</v>
      </c>
    </row>
    <row r="9" spans="1:15" ht="18.600000000000001" customHeight="1" x14ac:dyDescent="0.3">
      <c r="A9" s="4" t="s">
        <v>52</v>
      </c>
      <c r="C9" s="4" t="inlineStr">
        <is>
          <t xml:space="preserve">PG7601</t>
        </is>
      </c>
      <c r="D9" s="4"/>
      <c r="E9" s="4"/>
      <c r="F9" s="4" t="s">
        <v>8</v>
      </c>
      <c r="G9" s="10" t="inlineStr">
        <is>
          <t xml:space="preserve">1520</t>
        </is>
      </c>
      <c r="H9" s="4"/>
      <c r="I9" s="4"/>
      <c r="J9" s="3">
        <v>3</v>
      </c>
      <c r="K9" s="3" t="inlineStr">
        <is>
          <t xml:space="preserve">3</t>
        </is>
      </c>
      <c r="L9" s="15">
        <v>5.63106</v>
      </c>
      <c r="M9" s="15" t="n">
        <f t="shared" si="0"/>
        <v>5.6310036899631</v>
      </c>
      <c r="N9" s="23">
        <v>0.001</v>
      </c>
      <c r="O9" s="3">
        <v>0.0075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Fluke / Mỹ</t>
        </is>
      </c>
      <c r="J10" s="3">
        <v>4</v>
      </c>
      <c r="K10" s="3" t="inlineStr">
        <is>
          <t xml:space="preserve">4</t>
        </is>
      </c>
      <c r="L10" s="15">
        <v>5.63123</v>
      </c>
      <c r="M10" s="15" t="n">
        <f t="shared" ref="M10" si="1">(100*L10)/(100+N10)</f>
        <v>5.63100475980961</v>
      </c>
      <c r="N10" s="23">
        <v>0.004</v>
      </c>
      <c r="O10" s="3">
        <v>0.0075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14.07714</v>
      </c>
      <c r="M11" s="15" t="n">
        <f>(100*L11)/(100+N11)</f>
        <v>14.0769992300077</v>
      </c>
      <c r="N11" s="23">
        <v>0.001</v>
      </c>
      <c r="O11" s="3">
        <v>0.0075</v>
      </c>
    </row>
    <row r="12" spans="1:15" ht="18.600000000000001" customHeight="1" x14ac:dyDescent="0.3">
      <c r="A12" s="4"/>
      <c r="B12" s="4" t="inlineStr">
        <is>
          <t xml:space="preserve">Phạm vi đo: (0,005 đến 0,4) MPa;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14.07742</v>
      </c>
      <c r="M12" s="15" t="n">
        <f t="shared" si="0"/>
        <v>14.0769976900693</v>
      </c>
      <c r="N12" s="23">
        <v>0.003</v>
      </c>
      <c r="O12" s="3">
        <v>0.0075</v>
      </c>
    </row>
    <row r="13" spans="1:15" ht="18.600000000000001" customHeight="1" x14ac:dyDescent="0.3">
      <c r="A13" s="4"/>
      <c r="B13" s="4" t="inlineStr">
        <is>
          <t xml:space="preserve">Cấp chính xác: 0,01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28.15328</v>
      </c>
      <c r="M13" s="15" t="n">
        <f t="shared" si="0"/>
        <v>28.1529984700153</v>
      </c>
      <c r="N13" s="23">
        <v>0.001</v>
      </c>
      <c r="O13" s="3">
        <v>0.0075</v>
      </c>
    </row>
    <row r="14" spans="1:15" ht="18.600000000000001" customHeight="1" x14ac:dyDescent="0.3">
      <c r="A14" s="4" t="inlineStr">
        <is>
          <t xml:space="preserve">Đơn vị sử dụng: Phòng Đo lường Nhiệt-Áp suất, Trung tâm Đo lường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28.15384</v>
      </c>
      <c r="M14" s="15" t="n">
        <f t="shared" si="0"/>
        <v>28.1529954101377</v>
      </c>
      <c r="N14" s="23">
        <v>0.003</v>
      </c>
      <c r="O14" s="3">
        <v>0.0075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56.30656</v>
      </c>
      <c r="M15" s="15" t="n">
        <f t="shared" si="0"/>
        <v>56.3059969400306</v>
      </c>
      <c r="N15" s="23">
        <v>0.001</v>
      </c>
      <c r="O15" s="3">
        <v>0.0075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PG7202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56.30656</v>
      </c>
      <c r="M16" s="15" t="n">
        <f t="shared" si="0"/>
        <v>56.3059969400306</v>
      </c>
      <c r="N16" s="23">
        <v>0.001</v>
      </c>
      <c r="O16" s="3">
        <v>0.0075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140.77022</v>
      </c>
      <c r="M17" s="15" t="n">
        <f t="shared" si="0"/>
        <v>140.765997020089</v>
      </c>
      <c r="N17" s="23">
        <v>0.003</v>
      </c>
      <c r="O17" s="3">
        <v>0.0075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(20 ± 2) ºC</t>
        </is>
      </c>
      <c r="F18" s="10"/>
      <c r="J18" s="3">
        <v>12</v>
      </c>
      <c r="K18" s="3" t="inlineStr">
        <is>
          <t xml:space="preserve">12</t>
        </is>
      </c>
      <c r="L18" s="15">
        <v>140.77163</v>
      </c>
      <c r="M18" s="15" t="n">
        <f t="shared" si="0"/>
        <v>140.765999360026</v>
      </c>
      <c r="N18" s="23">
        <v>0.004</v>
      </c>
      <c r="O18" s="3">
        <v>0.0075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(58 ± 5) %RH</t>
        </is>
      </c>
      <c r="F19" s="10"/>
      <c r="J19" s="3">
        <v>13</v>
      </c>
      <c r="K19" s="3" t="inlineStr">
        <is>
          <t xml:space="preserve">13</t>
        </is>
      </c>
      <c r="L19" s="15">
        <v>281.54045</v>
      </c>
      <c r="M19" s="15" t="n">
        <f t="shared" si="0"/>
        <v>281.532004039879</v>
      </c>
      <c r="N19" s="23">
        <v>0.003</v>
      </c>
      <c r="O19" s="3">
        <v>0.0075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46134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281.54608</v>
      </c>
      <c r="M20" s="15" t="n">
        <f t="shared" si="0"/>
        <v>281.53200339983</v>
      </c>
      <c r="N20" s="23">
        <v>0.005</v>
      </c>
      <c r="O20" s="3">
        <v>0.0075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563.06863</v>
      </c>
      <c r="M21" s="15" t="n">
        <f t="shared" si="0"/>
        <v>563.062999370006</v>
      </c>
      <c r="N21" s="23">
        <v>0.001</v>
      </c>
      <c r="O21" s="3">
        <v>0.0075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563.07426</v>
      </c>
      <c r="M22" s="15" t="n">
        <f t="shared" si="0"/>
        <v>563.062998740025</v>
      </c>
      <c r="N22" s="3">
        <v>0.002</v>
      </c>
      <c r="O22" s="3">
        <v>0.0075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1407.71431</v>
      </c>
      <c r="M23" s="15" t="n">
        <f t="shared" si="0"/>
        <v>1407.65800367985</v>
      </c>
      <c r="N23" s="3">
        <v>0.004</v>
      </c>
      <c r="O23" s="3">
        <v>0.0075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1407.70023</v>
      </c>
      <c r="M24" s="62" t="n">
        <f t="shared" si="0"/>
        <v>1407.65800025999</v>
      </c>
      <c r="N24" s="61">
        <v>0.003</v>
      </c>
      <c r="O24" s="61">
        <v>0.0075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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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Trần Quốc Bảo</t>
        </is>
      </c>
      <c r="C40" s="88"/>
      <c r="D40" s="88"/>
      <c r="E40" s="88"/>
      <c r="F40" s="88" t="inlineStr">
        <is>
          <t xml:space="preserve">Luyện Thanh Tùng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4.0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13.4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200.5</v>
      </c>
      <c r="B60" s="70"/>
      <c r="C60" s="70"/>
      <c r="D60" s="70">
        <v>208.5</v>
      </c>
      <c r="E60" s="70"/>
      <c r="F60" s="70">
        <v>204.5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0.36</v>
      </c>
      <c r="B66" s="73"/>
      <c r="C66" s="72">
        <v>0.33</v>
      </c>
      <c r="D66" s="73"/>
      <c r="E66" s="3">
        <v>0.38</v>
      </c>
      <c r="F66" s="70">
        <v>0.357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(MPa)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0.0001223334125</v>
      </c>
    </row>
    <row r="6" spans="1:14" ht="18.600000000000001" customHeight="1" x14ac:dyDescent="0.25">
      <c r="A6" s="13">
        <v>1</v>
      </c>
      <c r="B6" s="46">
        <v>0.04</v>
      </c>
      <c r="C6" s="47" t="inlineStr">
        <is>
          <t xml:space="preserve">4,16,17</t>
        </is>
      </c>
      <c r="D6" s="49">
        <v>499.953</v>
      </c>
      <c r="E6" s="22">
        <v>0.047</v>
      </c>
      <c r="F6" s="49" t="n">
        <f>D6+E6</f>
        <v>500</v>
      </c>
      <c r="G6" s="51">
        <v>1006.35</v>
      </c>
      <c r="H6" s="46">
        <v>60.1</v>
      </c>
      <c r="I6" s="46">
        <v>20.3</v>
      </c>
      <c r="M6" s="21" t="e">
        <f>B6*#REF!</f>
        <v>#NAME?</v>
      </c>
      <c r="N6" s="50" t="n">
        <f>$N$5*D6/'Tính toán'!$D$3</f>
        <v>758.708783437836</v>
      </c>
    </row>
    <row r="7" spans="1:14" ht="18.600000000000001" customHeight="1" x14ac:dyDescent="0.25">
      <c r="A7" s="13">
        <v>2</v>
      </c>
      <c r="B7" s="46">
        <v>0.08</v>
      </c>
      <c r="C7" s="47" t="inlineStr">
        <is>
          <t xml:space="preserve">10,17,18</t>
        </is>
      </c>
      <c r="D7" s="49">
        <v>999.967</v>
      </c>
      <c r="E7" s="22">
        <v>0.033</v>
      </c>
      <c r="F7" s="49" t="n">
        <f t="shared" ref="F7:F15" si="0">D7+E7</f>
        <v>1000</v>
      </c>
      <c r="G7" s="51">
        <v>1010.47</v>
      </c>
      <c r="H7" s="46">
        <v>58.6</v>
      </c>
      <c r="I7" s="46">
        <v>20.0</v>
      </c>
      <c r="M7" s="21" t="e">
        <f>B7*#REF!</f>
        <v>#NAME?</v>
      </c>
      <c r="N7" s="1" t="n">
        <f>$N$5*D7/'Tính toán'!$D$3</f>
        <v>1517.51013804894</v>
      </c>
    </row>
    <row r="8" spans="1:14" ht="18.600000000000001" customHeight="1" x14ac:dyDescent="0.25">
      <c r="A8" s="13">
        <v>3</v>
      </c>
      <c r="B8" s="46">
        <v>0.12</v>
      </c>
      <c r="C8" s="47" t="inlineStr">
        <is>
          <t xml:space="preserve">3,8</t>
        </is>
      </c>
      <c r="D8" s="49">
        <v>1499.965</v>
      </c>
      <c r="E8" s="22">
        <v>0.035</v>
      </c>
      <c r="F8" s="49" t="n">
        <f t="shared" si="0"/>
        <v>1500</v>
      </c>
      <c r="G8" s="51">
        <v>1005.9</v>
      </c>
      <c r="H8" s="46">
        <v>57.9</v>
      </c>
      <c r="I8" s="46">
        <v>20.0</v>
      </c>
      <c r="M8" s="21" t="e">
        <f>B8*#REF!</f>
        <v>#NAME?</v>
      </c>
      <c r="N8" s="1" t="n">
        <f>$N$5*D8/'Tính toán'!$D$3</f>
        <v>2276.28721169657</v>
      </c>
    </row>
    <row r="9" spans="1:14" ht="18.600000000000001" customHeight="1" x14ac:dyDescent="0.25">
      <c r="A9" s="13">
        <v>4</v>
      </c>
      <c r="B9" s="46">
        <v>0.16</v>
      </c>
      <c r="C9" s="47" t="inlineStr">
        <is>
          <t xml:space="preserve">1,3,7</t>
        </is>
      </c>
      <c r="D9" s="49">
        <v>1999.994</v>
      </c>
      <c r="E9" s="22">
        <v>0.006</v>
      </c>
      <c r="F9" s="49" t="n">
        <f t="shared" si="0"/>
        <v>2000</v>
      </c>
      <c r="G9" s="51">
        <v>1007.99</v>
      </c>
      <c r="H9" s="46">
        <v>61.4</v>
      </c>
      <c r="I9" s="46">
        <v>20.2</v>
      </c>
      <c r="M9" s="21" t="e">
        <f>B9*#REF!</f>
        <v>#NAME?</v>
      </c>
      <c r="N9" s="1" t="n">
        <f>$N$5*D9/'Tính toán'!$D$3</f>
        <v>3035.11132971094</v>
      </c>
    </row>
    <row r="10" spans="1:14" ht="18.600000000000001" customHeight="1" x14ac:dyDescent="0.25">
      <c r="A10" s="13">
        <v>5</v>
      </c>
      <c r="B10" s="46">
        <v>0.2</v>
      </c>
      <c r="C10" s="47" t="inlineStr">
        <is>
          <t xml:space="preserve">5,8,11,15</t>
        </is>
      </c>
      <c r="D10" s="49">
        <v>2499.97</v>
      </c>
      <c r="E10" s="22">
        <v>0.03</v>
      </c>
      <c r="F10" s="49" t="n">
        <f t="shared" si="0"/>
        <v>2500</v>
      </c>
      <c r="G10" s="51">
        <v>1007.18</v>
      </c>
      <c r="H10" s="46">
        <v>58.3</v>
      </c>
      <c r="I10" s="46">
        <v>19.5</v>
      </c>
      <c r="M10" s="21" t="e">
        <f>B10*#REF!</f>
        <v>#NAME?</v>
      </c>
      <c r="N10" s="1" t="n">
        <f>$N$5*D10/'Tính toán'!$D$3</f>
        <v>3793.85501703378</v>
      </c>
    </row>
    <row r="11" spans="1:14" ht="18.600000000000001" customHeight="1" x14ac:dyDescent="0.25">
      <c r="A11" s="13">
        <v>6</v>
      </c>
      <c r="B11" s="46">
        <v>0.24</v>
      </c>
      <c r="C11" s="47" t="inlineStr">
        <is>
          <t xml:space="preserve">5,7,16</t>
        </is>
      </c>
      <c r="D11" s="49">
        <v>2999.978</v>
      </c>
      <c r="E11" s="22">
        <v>0.022</v>
      </c>
      <c r="F11" s="49" t="n">
        <f t="shared" si="0"/>
        <v>3000</v>
      </c>
      <c r="G11" s="51">
        <v>1010.01</v>
      </c>
      <c r="H11" s="46">
        <v>55.2</v>
      </c>
      <c r="I11" s="46">
        <v>20.9</v>
      </c>
      <c r="M11" s="21" t="e">
        <f>B11*#REF!</f>
        <v>#NAME?</v>
      </c>
      <c r="N11" s="1" t="n">
        <f>$N$5*D11/'Tính toán'!$D$4</f>
        <v>91045.8298907505</v>
      </c>
    </row>
    <row r="12" spans="1:14" ht="18.600000000000001" customHeight="1" x14ac:dyDescent="0.25">
      <c r="A12" s="13">
        <v>7</v>
      </c>
      <c r="B12" s="46">
        <v>0.28</v>
      </c>
      <c r="C12" s="47" t="inlineStr">
        <is>
          <t xml:space="preserve">7,15,16</t>
        </is>
      </c>
      <c r="D12" s="49">
        <v>3499.982</v>
      </c>
      <c r="E12" s="22">
        <v>0.018</v>
      </c>
      <c r="F12" s="49" t="n">
        <f t="shared" si="0"/>
        <v>3500</v>
      </c>
      <c r="G12" s="51">
        <v>1009.89</v>
      </c>
      <c r="H12" s="46">
        <v>64.9</v>
      </c>
      <c r="I12" s="46">
        <v>19.9</v>
      </c>
    </row>
    <row r="13" spans="1:14" s="32" customFormat="1" ht="22.5" customHeight="1" x14ac:dyDescent="0.25">
      <c r="A13" s="13">
        <v>8</v>
      </c>
      <c r="B13" s="46">
        <v>0.32</v>
      </c>
      <c r="C13" s="47" t="inlineStr">
        <is>
          <t xml:space="preserve">3,4,13,16</t>
        </is>
      </c>
      <c r="D13" s="49">
        <v>3999.993</v>
      </c>
      <c r="E13" s="22">
        <v>0.007</v>
      </c>
      <c r="F13" s="49" t="n">
        <f t="shared" si="0"/>
        <v>4000</v>
      </c>
      <c r="G13" s="51">
        <v>1015.89</v>
      </c>
      <c r="H13" s="46">
        <v>60.6</v>
      </c>
      <c r="I13" s="60">
        <v>20.8</v>
      </c>
      <c r="J13" s="40"/>
    </row>
    <row r="14" spans="1:14" s="34" customFormat="1" ht="22.5" customHeight="1" x14ac:dyDescent="0.25">
      <c r="A14" s="13">
        <v>9</v>
      </c>
      <c r="B14" s="46">
        <v>0.36</v>
      </c>
      <c r="C14" s="47" t="inlineStr">
        <is>
          <t xml:space="preserve">4,9</t>
        </is>
      </c>
      <c r="D14" s="49">
        <v>4499.991</v>
      </c>
      <c r="E14" s="22">
        <v>0.009</v>
      </c>
      <c r="F14" s="49" t="n">
        <f t="shared" si="0"/>
        <v>4500</v>
      </c>
      <c r="G14" s="51">
        <v>1013.02</v>
      </c>
      <c r="H14" s="46">
        <v>62.4</v>
      </c>
      <c r="I14" s="60">
        <v>20.3</v>
      </c>
      <c r="J14" s="40"/>
    </row>
    <row r="15" spans="1:14" s="35" customFormat="1" ht="22.5" customHeight="1" x14ac:dyDescent="0.25">
      <c r="A15" s="52">
        <v>10</v>
      </c>
      <c r="B15" s="53">
        <v>0.4</v>
      </c>
      <c r="C15" s="47" t="inlineStr">
        <is>
          <t xml:space="preserve">1,6,10,18</t>
        </is>
      </c>
      <c r="D15" s="49">
        <v>4999.969</v>
      </c>
      <c r="E15" s="22">
        <v>0.031</v>
      </c>
      <c r="F15" s="49" t="n">
        <f t="shared" si="0"/>
        <v>5000</v>
      </c>
      <c r="G15" s="51">
        <v>1014.41</v>
      </c>
      <c r="H15" s="46">
        <v>61.1</v>
      </c>
      <c r="I15" s="60">
        <v>20.9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0,12233 × 10-3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0,025 × 10-3 (MPa) </t>
        </is>
      </c>
      <c r="F18" s="31" t="inlineStr">
        <is>
          <t xml:space="preserve">tại p = 0,3 MPa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0,050 × 10-3 (MPa)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9e-05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Đạt yêu cầu kỹ thuật đo lường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0.0001223334125</v>
      </c>
      <c r="J3" s="45">
        <v>0.0001223334125</v>
      </c>
      <c r="K3" s="45">
        <v>0.0001223334125</v>
      </c>
      <c r="L3" s="45">
        <v>0.0001223334125</v>
      </c>
      <c r="M3" s="45">
        <v>0.0001223334125</v>
      </c>
      <c r="R3" s="3">
        <v>1</v>
      </c>
      <c r="S3" s="15">
        <v>2.81508</v>
      </c>
      <c r="T3" t="n">
        <f>(S3*0.001*9.786673*0.00001)/0.0001223334125</f>
        <v>0.002252064</v>
      </c>
      <c r="U3" t="n">
        <f>(S3*0.001*0.0001)/0.0001223334125</f>
        <v>0.0023011538241852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2.81503</v>
      </c>
      <c r="T4" t="n">
        <f t="shared" ref="T4:T20" si="0">(S4*0.001*9.786673*0.00001)/0.0001223334125</f>
        <v>0.002252024</v>
      </c>
      <c r="U4" t="n">
        <f t="shared" ref="U4:U20" si="1">(S4*0.001*0.0001)/0.0001223334125</f>
        <v>0.00230111295227704</v>
      </c>
    </row>
    <row r="5" spans="1:21" ht="16.5" x14ac:dyDescent="0.25">
      <c r="H5" t="s">
        <v>113</v>
      </c>
      <c r="I5" s="45" t="n">
        <f>(I4*9.786673*0.00001)/I3</f>
        <v>8</v>
      </c>
      <c r="J5" t="n">
        <f t="shared" ref="J5:M5" si="2">(J4*9.786673*0.00001)/J3</f>
        <v>0.72</v>
      </c>
      <c r="K5" t="n">
        <f t="shared" si="2"/>
        <v>0.96</v>
      </c>
      <c r="L5" t="n">
        <f t="shared" si="2"/>
        <v>1.6</v>
      </c>
      <c r="M5" t="n">
        <f t="shared" si="2"/>
        <v>0.32</v>
      </c>
      <c r="N5" t="n">
        <f>SUM(I5:M5)</f>
        <v>11.6</v>
      </c>
      <c r="R5" s="3">
        <v>3</v>
      </c>
      <c r="S5" s="15">
        <v>5.63106</v>
      </c>
      <c r="T5" t="n">
        <f t="shared" si="0"/>
        <v>0.004504848</v>
      </c>
      <c r="U5" t="n">
        <f t="shared" si="1"/>
        <v>0.00460304334271718</v>
      </c>
    </row>
    <row r="6" spans="1:21" ht="16.5" x14ac:dyDescent="0.25">
      <c r="R6" s="3">
        <v>4</v>
      </c>
      <c r="S6" s="15">
        <v>5.63123</v>
      </c>
      <c r="T6" t="n">
        <f t="shared" si="0"/>
        <v>0.004504984</v>
      </c>
      <c r="U6" t="n">
        <f t="shared" si="1"/>
        <v>0.00460318230720491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32.2488563636364</v>
      </c>
      <c r="R7" s="3">
        <v>5</v>
      </c>
      <c r="S7" s="15">
        <v>14.07714</v>
      </c>
      <c r="T7" t="n">
        <f t="shared" si="0"/>
        <v>0.011261712</v>
      </c>
      <c r="U7" t="n">
        <f t="shared" si="1"/>
        <v>0.0115071914633298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14.07742</v>
      </c>
      <c r="T8" t="n">
        <f t="shared" si="0"/>
        <v>0.011261936</v>
      </c>
      <c r="U8" t="n">
        <f t="shared" si="1"/>
        <v>0.0115074203460154</v>
      </c>
    </row>
    <row r="9" spans="1:21" ht="16.5" x14ac:dyDescent="0.25">
      <c r="H9" t="s">
        <v>147</v>
      </c>
      <c r="I9" t="n">
        <f>(0.99985*I7*B7)/I8</f>
        <v>0.000644880380703637</v>
      </c>
      <c r="R9" s="3">
        <v>7</v>
      </c>
      <c r="S9" s="15">
        <v>28.15328</v>
      </c>
      <c r="T9" t="n">
        <f t="shared" si="0"/>
        <v>0.022522624</v>
      </c>
      <c r="U9" t="n">
        <f t="shared" si="1"/>
        <v>0.0230135654884964</v>
      </c>
    </row>
    <row r="10" spans="1:21" ht="16.5" x14ac:dyDescent="0.25">
      <c r="R10" s="3">
        <v>8</v>
      </c>
      <c r="S10" s="15">
        <v>28.15384</v>
      </c>
      <c r="T10" t="n">
        <f t="shared" si="0"/>
        <v>0.022523072</v>
      </c>
      <c r="U10" t="n">
        <f t="shared" si="1"/>
        <v>0.0230140232538678</v>
      </c>
    </row>
    <row r="11" spans="1:21" ht="16.5" x14ac:dyDescent="0.25">
      <c r="R11" s="3">
        <v>9</v>
      </c>
      <c r="S11" s="15">
        <v>56.30656</v>
      </c>
      <c r="T11" t="n">
        <f t="shared" si="0"/>
        <v>0.045045248</v>
      </c>
      <c r="U11" t="n">
        <f t="shared" si="1"/>
        <v>0.0460271309769929</v>
      </c>
    </row>
    <row r="12" spans="1:21" ht="16.5" x14ac:dyDescent="0.25">
      <c r="R12" s="3">
        <v>10</v>
      </c>
      <c r="S12" s="15">
        <v>56.30656</v>
      </c>
      <c r="T12" t="n">
        <f t="shared" si="0"/>
        <v>0.045045248</v>
      </c>
      <c r="U12" t="n">
        <f t="shared" si="1"/>
        <v>0.0460271309769929</v>
      </c>
    </row>
    <row r="13" spans="1:21" ht="16.5" x14ac:dyDescent="0.25">
      <c r="R13" s="3">
        <v>11</v>
      </c>
      <c r="S13" s="15">
        <v>140.77022</v>
      </c>
      <c r="T13" t="n">
        <f t="shared" si="0"/>
        <v>0.112616176</v>
      </c>
      <c r="U13" t="n">
        <f t="shared" si="1"/>
        <v>0.115070950056265</v>
      </c>
    </row>
    <row r="14" spans="1:21" ht="16.5" x14ac:dyDescent="0.25">
      <c r="R14" s="3">
        <v>12</v>
      </c>
      <c r="S14" s="15">
        <v>140.77163</v>
      </c>
      <c r="T14" t="n">
        <f t="shared" si="0"/>
        <v>0.112617304</v>
      </c>
      <c r="U14" t="n">
        <f t="shared" si="1"/>
        <v>0.115072102644075</v>
      </c>
    </row>
    <row r="15" spans="1:21" ht="16.5" x14ac:dyDescent="0.25">
      <c r="R15" s="3">
        <v>13</v>
      </c>
      <c r="S15" s="15">
        <v>281.54045</v>
      </c>
      <c r="T15" t="n">
        <f t="shared" si="0"/>
        <v>0.22523236</v>
      </c>
      <c r="U15" t="n">
        <f t="shared" si="1"/>
        <v>0.230141908286912</v>
      </c>
    </row>
    <row r="16" spans="1:21" ht="16.5" x14ac:dyDescent="0.25">
      <c r="R16" s="3">
        <v>14</v>
      </c>
      <c r="S16" s="15">
        <v>281.54608</v>
      </c>
      <c r="T16" t="n">
        <f t="shared" si="0"/>
        <v>0.225236864</v>
      </c>
      <c r="U16" t="n">
        <f t="shared" si="1"/>
        <v>0.230146510463771</v>
      </c>
    </row>
    <row r="17" spans="15:21" ht="16.5" x14ac:dyDescent="0.25">
      <c r="R17" s="3">
        <v>15</v>
      </c>
      <c r="S17" s="15">
        <v>563.06863</v>
      </c>
      <c r="T17" t="n">
        <f t="shared" si="0"/>
        <v>0.450454904</v>
      </c>
      <c r="U17" t="n">
        <f t="shared" si="1"/>
        <v>0.460273786607563</v>
      </c>
    </row>
    <row r="18" spans="15:21" ht="16.5" x14ac:dyDescent="0.25">
      <c r="R18" s="3">
        <v>16</v>
      </c>
      <c r="S18" s="15">
        <v>563.07426</v>
      </c>
      <c r="T18" t="n">
        <f t="shared" si="0"/>
        <v>0.450459408</v>
      </c>
      <c r="U18" t="n">
        <f t="shared" si="1"/>
        <v>0.460278388784421</v>
      </c>
    </row>
    <row r="19" spans="15:21" ht="16.5" x14ac:dyDescent="0.25">
      <c r="R19" s="3">
        <v>17</v>
      </c>
      <c r="S19" s="15">
        <v>1407.71431</v>
      </c>
      <c r="T19" t="n">
        <f t="shared" si="0"/>
        <v>1.126171448</v>
      </c>
      <c r="U19" t="n">
        <f t="shared" si="1"/>
        <v>1.15071939973881</v>
      </c>
    </row>
    <row r="20" spans="15:21" ht="16.5" x14ac:dyDescent="0.25">
      <c r="R20" s="3" t="s">
        <v>108</v>
      </c>
      <c r="S20" s="15">
        <v>1407.70023</v>
      </c>
      <c r="T20" t="n">
        <f t="shared" si="0"/>
        <v>1.126160184</v>
      </c>
      <c r="U20" t="n">
        <f t="shared" si="1"/>
        <v>1.15070789020947</v>
      </c>
    </row>
    <row r="21" spans="15:21" x14ac:dyDescent="0.25">
      <c r="O21" s="48" t="n">
        <f>S3+S4+S5+S6+S7+S8</f>
        <v>45.04696</v>
      </c>
      <c r="S21" s="48" t="n">
        <f>AVERAGE(S3:S13)</f>
        <v>32.2488563636364</v>
      </c>
      <c r="T21" t="n">
        <f>SUM(T3:T20)</f>
        <v>4.000122408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