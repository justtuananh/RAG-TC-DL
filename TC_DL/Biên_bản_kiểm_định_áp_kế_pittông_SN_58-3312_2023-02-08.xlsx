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<sst xmlns="http://schemas.openxmlformats.org/spreadsheetml/2006/main" count="168" uniqueCount="150">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</sst>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78.83452</v>
      </c>
      <c r="C2" s="19">
        <v>0.788345</v>
      </c>
      <c r="E2" s="19" t="s">
        <v>43</v>
      </c>
      <c r="F2" s="19" t="n">
        <f>IF(E2="",0,VLOOKUP(E2,$A$2:$C$17,2,FALSE))</f>
        <v>7883.11949</v>
      </c>
      <c r="G2" s="19" t="n">
        <f>IF(E2="",0,VLOOKUP(E2,$A$2:$C$17,3,FALSE))</f>
        <v>78.831195</v>
      </c>
    </row>
    <row r="3" spans="1:7" ht="18.75" x14ac:dyDescent="0.3">
      <c r="A3" s="3">
        <v>1</v>
      </c>
      <c r="B3" s="15">
        <v>78.83531</v>
      </c>
      <c r="C3" s="19">
        <v>0.788353</v>
      </c>
      <c r="E3" s="19" t="s">
        <v>41</v>
      </c>
      <c r="F3" s="19" t="n">
        <f>IF(E3="",0,VLOOKUP(E3,$A$2:$C$17,2,FALSE))</f>
        <v>3941.48041</v>
      </c>
      <c r="G3" s="19" t="n">
        <f t="shared" ref="G3:G17" si="0">IF(E3="",0,VLOOKUP(E3,$A$2:$C$17,3,FALSE))</f>
        <v>39.414804</v>
      </c>
    </row>
    <row r="4" spans="1:7" ht="18.75" x14ac:dyDescent="0.3">
      <c r="A4" s="3">
        <v>2</v>
      </c>
      <c r="B4" s="15">
        <v>197.08185</v>
      </c>
      <c r="C4" s="19">
        <v>1.970818</v>
      </c>
      <c r="E4" s="19" t="s">
        <v>42</v>
      </c>
      <c r="F4" s="19" t="n">
        <f t="shared" ref="F4:F17" si="1">IF(E4="",0,VLOOKUP(E4,$A$2:$C$17,2,FALSE))</f>
        <v>3941.7169</v>
      </c>
      <c r="G4" s="19" t="n">
        <f t="shared" si="0"/>
        <v>39.417169</v>
      </c>
    </row>
    <row r="5" spans="1:7" ht="18.75" x14ac:dyDescent="0.3">
      <c r="A5" s="3" t="s">
        <v>22</v>
      </c>
      <c r="B5" s="15">
        <v>197.08382</v>
      </c>
      <c r="C5" s="19">
        <v>1.970838</v>
      </c>
      <c r="E5" s="19" t="s">
        <v>44</v>
      </c>
      <c r="F5" s="19" t="n">
        <f t="shared" si="1"/>
        <v>7883.67129</v>
      </c>
      <c r="G5" s="19" t="n">
        <f t="shared" si="0"/>
        <v>78.836713</v>
      </c>
    </row>
    <row r="6" spans="1:7" ht="18.75" x14ac:dyDescent="0.3">
      <c r="A6" s="3" t="s">
        <v>23</v>
      </c>
      <c r="B6" s="15">
        <v>394.15188</v>
      </c>
      <c r="C6" s="19">
        <v>3.941519</v>
      </c>
      <c r="E6" s="19" t="s">
        <v>45</v>
      </c>
      <c r="F6" s="19" t="n">
        <f t="shared" si="1"/>
        <v>19707.40407</v>
      </c>
      <c r="G6" s="19" t="n">
        <f t="shared" si="0"/>
        <v>197.074041</v>
      </c>
    </row>
    <row r="7" spans="1:7" ht="18.75" x14ac:dyDescent="0.3">
      <c r="A7" s="3">
        <v>10</v>
      </c>
      <c r="B7" s="15">
        <v>394.17159</v>
      </c>
      <c r="C7" s="19">
        <v>3.941716</v>
      </c>
      <c r="E7" s="19" t="s">
        <v>46</v>
      </c>
      <c r="F7" s="19" t="n">
        <f t="shared" si="1"/>
        <v>19707.99529</v>
      </c>
      <c r="G7" s="19" t="n">
        <f t="shared" si="0"/>
        <v>197.079953</v>
      </c>
    </row>
    <row r="8" spans="1:7" ht="18.75" x14ac:dyDescent="0.3">
      <c r="A8" s="3" t="s">
        <v>38</v>
      </c>
      <c r="B8" s="3">
        <v>788.3353</v>
      </c>
      <c r="C8" s="19">
        <v>7.883353</v>
      </c>
      <c r="E8" s="19" t="s">
        <v>40</v>
      </c>
      <c r="F8" s="19" t="n">
        <f t="shared" si="1"/>
        <v>1970.74071</v>
      </c>
      <c r="G8" s="19" t="n">
        <f t="shared" si="0"/>
        <v>19.707407</v>
      </c>
    </row>
    <row r="9" spans="1:7" ht="18.75" x14ac:dyDescent="0.3">
      <c r="A9" s="3">
        <v>20</v>
      </c>
      <c r="B9" s="16">
        <v>788.36683</v>
      </c>
      <c r="C9" s="19">
        <v>7.883668</v>
      </c>
      <c r="E9" s="19" t="s">
        <v>39</v>
      </c>
      <c r="F9" s="19" t="n">
        <f t="shared" si="1"/>
        <v>1970.83924</v>
      </c>
      <c r="G9" s="19" t="n">
        <f t="shared" si="0"/>
        <v>19.708392</v>
      </c>
    </row>
    <row r="10" spans="1:7" ht="18.75" x14ac:dyDescent="0.3">
      <c r="A10" s="3" t="s">
        <v>40</v>
      </c>
      <c r="B10" s="16">
        <v>1970.74071</v>
      </c>
      <c r="C10" s="19">
        <v>19.707407</v>
      </c>
      <c r="E10" s="19">
        <v>20</v>
      </c>
      <c r="F10" s="19" t="n">
        <f t="shared" si="1"/>
        <v>788.36683</v>
      </c>
      <c r="G10" s="19" t="n">
        <f t="shared" si="0"/>
        <v>7.883668</v>
      </c>
    </row>
    <row r="11" spans="1:7" ht="18.75" x14ac:dyDescent="0.3">
      <c r="A11" s="3" t="s">
        <v>39</v>
      </c>
      <c r="B11" s="16">
        <v>1970.83924</v>
      </c>
      <c r="C11" s="19">
        <v>19.708392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3941.48041</v>
      </c>
      <c r="C12" s="19">
        <v>39.414804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3941.7169</v>
      </c>
      <c r="C13" s="19">
        <v>39.417169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7883.11949</v>
      </c>
      <c r="C14" s="19">
        <v>78.831195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7883.67129</v>
      </c>
      <c r="C15" s="19">
        <v>78.836713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19707.40407</v>
      </c>
      <c r="C16" s="19">
        <v>197.074041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19707.99529</v>
      </c>
      <c r="C17" s="19">
        <v>197.079953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67795.33423</v>
      </c>
      <c r="G18" s="18" t="n">
        <f>SUM(G2:G17)</f>
        <v>677.953342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08 tháng 02 năm 2023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003/2023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39.41518</v>
      </c>
      <c r="M7" s="15" t="n">
        <f>(100*L7)/(100+N7)</f>
        <v>39.4139975800726</v>
      </c>
      <c r="N7" s="23">
        <v>0.003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39.41479</v>
      </c>
      <c r="M8" s="15" t="n">
        <f t="shared" ref="M8:M24" si="0">(100*L8)/(100+N8)</f>
        <v>39.4140017199656</v>
      </c>
      <c r="N8" s="23">
        <v>0.002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580</t>
        </is>
      </c>
      <c r="D9" s="4"/>
      <c r="E9" s="4"/>
      <c r="F9" s="4" t="s">
        <v>8</v>
      </c>
      <c r="G9" s="10" t="inlineStr">
        <is>
          <t xml:space="preserve">58-3312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78.83531</v>
      </c>
      <c r="M9" s="15" t="n">
        <f t="shared" si="0"/>
        <v>78.8290036797056</v>
      </c>
      <c r="N9" s="23">
        <v>0.008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DH-Budenberg / Anh</t>
        </is>
      </c>
      <c r="J10" s="3">
        <v>4</v>
      </c>
      <c r="K10" s="3" t="inlineStr">
        <is>
          <t xml:space="preserve">4</t>
        </is>
      </c>
      <c r="L10" s="15">
        <v>78.83452</v>
      </c>
      <c r="M10" s="15" t="n">
        <f t="shared" ref="M10" si="1">(100*L10)/(100+N10)</f>
        <v>78.8290019698621</v>
      </c>
      <c r="N10" s="23">
        <v>0.007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197.08382</v>
      </c>
      <c r="M11" s="15" t="n">
        <f>(100*L11)/(100+N11)</f>
        <v>197.071995680259</v>
      </c>
      <c r="N11" s="23">
        <v>0.006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(1 đến 700)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197.08185</v>
      </c>
      <c r="M12" s="15" t="n">
        <f t="shared" si="0"/>
        <v>197.07199640018</v>
      </c>
      <c r="N12" s="23">
        <v>0.005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394.17159</v>
      </c>
      <c r="M13" s="15" t="n">
        <f t="shared" si="0"/>
        <v>394.143999920006</v>
      </c>
      <c r="N13" s="23">
        <v>0.007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Công ty TNHH Khí công nghiệp Đông Phương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394.15188</v>
      </c>
      <c r="M14" s="15" t="n">
        <f t="shared" si="0"/>
        <v>394.143997120058</v>
      </c>
      <c r="N14" s="23">
        <v>0.002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788.3353</v>
      </c>
      <c r="M15" s="15" t="n">
        <f t="shared" si="0"/>
        <v>788.288002719837</v>
      </c>
      <c r="N15" s="23">
        <v>0.006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788.36683</v>
      </c>
      <c r="M16" s="15" t="n">
        <f t="shared" si="0"/>
        <v>788.28800119988</v>
      </c>
      <c r="N16" s="23">
        <v>0.01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1970.83924</v>
      </c>
      <c r="M17" s="15" t="n">
        <f t="shared" si="0"/>
        <v>1970.7209967402</v>
      </c>
      <c r="N17" s="23">
        <v>0.006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(22 ± 2) ºC</t>
        </is>
      </c>
      <c r="F18" s="10"/>
      <c r="J18" s="3">
        <v>12</v>
      </c>
      <c r="K18" s="3" t="inlineStr">
        <is>
          <t xml:space="preserve">12</t>
        </is>
      </c>
      <c r="L18" s="15">
        <v>1970.74071</v>
      </c>
      <c r="M18" s="15" t="n">
        <f t="shared" si="0"/>
        <v>1970.72100278997</v>
      </c>
      <c r="N18" s="23">
        <v>0.001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(60 ± 5) %RH</t>
        </is>
      </c>
      <c r="F19" s="10"/>
      <c r="J19" s="3">
        <v>13</v>
      </c>
      <c r="K19" s="3" t="inlineStr">
        <is>
          <t xml:space="preserve">13</t>
        </is>
      </c>
      <c r="L19" s="15">
        <v>3941.7169</v>
      </c>
      <c r="M19" s="15" t="n">
        <f t="shared" si="0"/>
        <v>3941.44099913006</v>
      </c>
      <c r="N19" s="23">
        <v>0.007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44965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3941.48041</v>
      </c>
      <c r="M20" s="15" t="n">
        <f t="shared" si="0"/>
        <v>3941.44099559004</v>
      </c>
      <c r="N20" s="23">
        <v>0.001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7883.11949</v>
      </c>
      <c r="M21" s="15" t="n">
        <f t="shared" si="0"/>
        <v>7882.88300350989</v>
      </c>
      <c r="N21" s="23">
        <v>0.003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7883.67129</v>
      </c>
      <c r="M22" s="15" t="n">
        <f t="shared" si="0"/>
        <v>7882.88300169983</v>
      </c>
      <c r="N22" s="3">
        <v>0.01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19707.40407</v>
      </c>
      <c r="M23" s="15" t="n">
        <f t="shared" si="0"/>
        <v>19707.20699793</v>
      </c>
      <c r="N23" s="3">
        <v>0.001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19707.99529</v>
      </c>
      <c r="M24" s="62" t="n">
        <f t="shared" si="0"/>
        <v>19707.2070017199</v>
      </c>
      <c r="N24" s="61">
        <v>0.004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Trần Quốc Bảo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3.5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22.4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207.3</v>
      </c>
      <c r="B60" s="70"/>
      <c r="C60" s="70"/>
      <c r="D60" s="70">
        <v>201.9</v>
      </c>
      <c r="E60" s="70"/>
      <c r="F60" s="70">
        <v>204.6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0.31</v>
      </c>
      <c r="B66" s="73"/>
      <c r="C66" s="72">
        <v>0.33</v>
      </c>
      <c r="D66" s="73"/>
      <c r="E66" s="3">
        <v>0.31</v>
      </c>
      <c r="F66" s="70">
        <v>0.317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9.786673000000002e-06</v>
      </c>
    </row>
    <row r="6" spans="1:14" ht="18.600000000000001" customHeight="1" x14ac:dyDescent="0.25">
      <c r="A6" s="13">
        <v>1</v>
      </c>
      <c r="B6" s="46">
        <v>70.0</v>
      </c>
      <c r="C6" s="47" t="inlineStr">
        <is>
          <t xml:space="preserve">1,10,16</t>
        </is>
      </c>
      <c r="D6" s="49">
        <v>6999.975</v>
      </c>
      <c r="E6" s="22">
        <v>0.025</v>
      </c>
      <c r="F6" s="49" t="n">
        <f>D6+E6</f>
        <v>7000</v>
      </c>
      <c r="G6" s="51">
        <v>1004.27</v>
      </c>
      <c r="H6" s="46">
        <v>61.6</v>
      </c>
      <c r="I6" s="46">
        <v>20.1</v>
      </c>
      <c r="M6" s="21" t="e">
        <f>B6*#REF!</f>
        <v>#NAME?</v>
      </c>
      <c r="N6" s="50" t="n">
        <f>$N$5*D6/'Tính toán'!$D$3</f>
        <v>849.830686699793</v>
      </c>
    </row>
    <row r="7" spans="1:14" ht="18.600000000000001" customHeight="1" x14ac:dyDescent="0.25">
      <c r="A7" s="13">
        <v>2</v>
      </c>
      <c r="B7" s="46">
        <v>140.0</v>
      </c>
      <c r="C7" s="47" t="inlineStr">
        <is>
          <t xml:space="preserve">3,8</t>
        </is>
      </c>
      <c r="D7" s="49">
        <v>13999.969</v>
      </c>
      <c r="E7" s="22">
        <v>0.031</v>
      </c>
      <c r="F7" s="49" t="n">
        <f t="shared" ref="F7:F15" si="0">D7+E7</f>
        <v>14000</v>
      </c>
      <c r="G7" s="51">
        <v>1015.18</v>
      </c>
      <c r="H7" s="46">
        <v>59.8</v>
      </c>
      <c r="I7" s="46">
        <v>20.3</v>
      </c>
      <c r="M7" s="21" t="e">
        <f>B7*#REF!</f>
        <v>#NAME?</v>
      </c>
      <c r="N7" s="1" t="n">
        <f>$N$5*D7/'Tính toán'!$D$3</f>
        <v>1699.66368009112</v>
      </c>
    </row>
    <row r="8" spans="1:14" ht="18.600000000000001" customHeight="1" x14ac:dyDescent="0.25">
      <c r="A8" s="13">
        <v>3</v>
      </c>
      <c r="B8" s="46">
        <v>210.0</v>
      </c>
      <c r="C8" s="47" t="inlineStr">
        <is>
          <t xml:space="preserve">5,12</t>
        </is>
      </c>
      <c r="D8" s="49">
        <v>20999.989</v>
      </c>
      <c r="E8" s="22">
        <v>0.011</v>
      </c>
      <c r="F8" s="49" t="n">
        <f t="shared" si="0"/>
        <v>21000</v>
      </c>
      <c r="G8" s="51">
        <v>1013.74</v>
      </c>
      <c r="H8" s="46">
        <v>64.2</v>
      </c>
      <c r="I8" s="46">
        <v>20.5</v>
      </c>
      <c r="M8" s="21" t="e">
        <f>B8*#REF!</f>
        <v>#NAME?</v>
      </c>
      <c r="N8" s="1" t="n">
        <f>$N$5*D8/'Tính toán'!$D$3</f>
        <v>2549.49983000769</v>
      </c>
    </row>
    <row r="9" spans="1:14" ht="18.600000000000001" customHeight="1" x14ac:dyDescent="0.25">
      <c r="A9" s="13">
        <v>4</v>
      </c>
      <c r="B9" s="46">
        <v>280.0</v>
      </c>
      <c r="C9" s="47" t="inlineStr">
        <is>
          <t xml:space="preserve">3,11</t>
        </is>
      </c>
      <c r="D9" s="49">
        <v>27999.995</v>
      </c>
      <c r="E9" s="22">
        <v>0.005</v>
      </c>
      <c r="F9" s="49" t="n">
        <f t="shared" si="0"/>
        <v>28000</v>
      </c>
      <c r="G9" s="51">
        <v>1015.65</v>
      </c>
      <c r="H9" s="46">
        <v>57.2</v>
      </c>
      <c r="I9" s="46">
        <v>19.5</v>
      </c>
      <c r="M9" s="21" t="e">
        <f>B9*#REF!</f>
        <v>#NAME?</v>
      </c>
      <c r="N9" s="1" t="n">
        <f>$N$5*D9/'Tính toán'!$D$3</f>
        <v>3399.33428025682</v>
      </c>
    </row>
    <row r="10" spans="1:14" ht="18.600000000000001" customHeight="1" x14ac:dyDescent="0.25">
      <c r="A10" s="13">
        <v>5</v>
      </c>
      <c r="B10" s="46">
        <v>350.0</v>
      </c>
      <c r="C10" s="47" t="inlineStr">
        <is>
          <t xml:space="preserve">2,12,17</t>
        </is>
      </c>
      <c r="D10" s="49">
        <v>34999.987</v>
      </c>
      <c r="E10" s="22">
        <v>0.013</v>
      </c>
      <c r="F10" s="49" t="n">
        <f t="shared" si="0"/>
        <v>35000</v>
      </c>
      <c r="G10" s="51">
        <v>1014.36</v>
      </c>
      <c r="H10" s="46">
        <v>58.5</v>
      </c>
      <c r="I10" s="46">
        <v>19.1</v>
      </c>
      <c r="M10" s="21" t="e">
        <f>B10*#REF!</f>
        <v>#NAME?</v>
      </c>
      <c r="N10" s="1" t="n">
        <f>$N$5*D10/'Tính toán'!$D$3</f>
        <v>4249.16703083851</v>
      </c>
    </row>
    <row r="11" spans="1:14" ht="18.600000000000001" customHeight="1" x14ac:dyDescent="0.25">
      <c r="A11" s="13">
        <v>6</v>
      </c>
      <c r="B11" s="46">
        <v>420.0</v>
      </c>
      <c r="C11" s="47" t="inlineStr">
        <is>
          <t xml:space="preserve">6,7,14,17</t>
        </is>
      </c>
      <c r="D11" s="49">
        <v>41999.972</v>
      </c>
      <c r="E11" s="22">
        <v>0.028</v>
      </c>
      <c r="F11" s="49" t="n">
        <f t="shared" si="0"/>
        <v>42000</v>
      </c>
      <c r="G11" s="51">
        <v>1014.6</v>
      </c>
      <c r="H11" s="46">
        <v>59.5</v>
      </c>
      <c r="I11" s="46">
        <v>20.8</v>
      </c>
      <c r="M11" s="21" t="e">
        <f>B11*#REF!</f>
        <v>#NAME?</v>
      </c>
      <c r="N11" s="1" t="n">
        <f>$N$5*D11/'Tính toán'!$D$4</f>
        <v>101972.009291489</v>
      </c>
    </row>
    <row r="12" spans="1:14" ht="18.600000000000001" customHeight="1" x14ac:dyDescent="0.25">
      <c r="A12" s="13">
        <v>7</v>
      </c>
      <c r="B12" s="46">
        <v>490.0</v>
      </c>
      <c r="C12" s="47" t="inlineStr">
        <is>
          <t xml:space="preserve">4,7,15</t>
        </is>
      </c>
      <c r="D12" s="49">
        <v>48999.969</v>
      </c>
      <c r="E12" s="22">
        <v>0.031</v>
      </c>
      <c r="F12" s="49" t="n">
        <f t="shared" si="0"/>
        <v>49000</v>
      </c>
      <c r="G12" s="51">
        <v>1013.88</v>
      </c>
      <c r="H12" s="46">
        <v>60.4</v>
      </c>
      <c r="I12" s="46">
        <v>20.3</v>
      </c>
    </row>
    <row r="13" spans="1:14" s="32" customFormat="1" ht="22.5" customHeight="1" x14ac:dyDescent="0.25">
      <c r="A13" s="13">
        <v>8</v>
      </c>
      <c r="B13" s="46">
        <v>560.0</v>
      </c>
      <c r="C13" s="47" t="inlineStr">
        <is>
          <t xml:space="preserve">15,16</t>
        </is>
      </c>
      <c r="D13" s="49">
        <v>55999.964</v>
      </c>
      <c r="E13" s="22">
        <v>0.036</v>
      </c>
      <c r="F13" s="49" t="n">
        <f t="shared" si="0"/>
        <v>56000</v>
      </c>
      <c r="G13" s="51">
        <v>1004.15</v>
      </c>
      <c r="H13" s="46">
        <v>58.3</v>
      </c>
      <c r="I13" s="60">
        <v>19.1</v>
      </c>
      <c r="J13" s="40"/>
    </row>
    <row r="14" spans="1:14" s="34" customFormat="1" ht="22.5" customHeight="1" x14ac:dyDescent="0.25">
      <c r="A14" s="13">
        <v>9</v>
      </c>
      <c r="B14" s="46">
        <v>630.0</v>
      </c>
      <c r="C14" s="47" t="inlineStr">
        <is>
          <t xml:space="preserve">2,3,8,9</t>
        </is>
      </c>
      <c r="D14" s="49">
        <v>62999.953</v>
      </c>
      <c r="E14" s="22">
        <v>0.047</v>
      </c>
      <c r="F14" s="49" t="n">
        <f t="shared" si="0"/>
        <v>63000</v>
      </c>
      <c r="G14" s="51">
        <v>1013.72</v>
      </c>
      <c r="H14" s="46">
        <v>64.7</v>
      </c>
      <c r="I14" s="60">
        <v>19.9</v>
      </c>
      <c r="J14" s="40"/>
    </row>
    <row r="15" spans="1:14" s="35" customFormat="1" ht="22.5" customHeight="1" x14ac:dyDescent="0.25">
      <c r="A15" s="52">
        <v>10</v>
      </c>
      <c r="B15" s="53">
        <v>700.0</v>
      </c>
      <c r="C15" s="47" t="inlineStr">
        <is>
          <t xml:space="preserve">1,10</t>
        </is>
      </c>
      <c r="D15" s="49">
        <v>69999.995</v>
      </c>
      <c r="E15" s="22">
        <v>0.005</v>
      </c>
      <c r="F15" s="49" t="n">
        <f t="shared" si="0"/>
        <v>70000</v>
      </c>
      <c r="G15" s="51">
        <v>1007.26</v>
      </c>
      <c r="H15" s="46">
        <v>59.0</v>
      </c>
      <c r="I15" s="60">
        <v>20.4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0,97867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88,200 × 10-3 (bar) </t>
        </is>
      </c>
      <c r="F18" s="31" t="inlineStr">
        <is>
          <t xml:space="preserve">tại p = 490,0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176,400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9.786673000000002e-06</v>
      </c>
      <c r="J3" s="45">
        <v>9.786673000000002e-06</v>
      </c>
      <c r="K3" s="45">
        <v>9.786673000000002e-06</v>
      </c>
      <c r="L3" s="45">
        <v>9.786673000000002e-06</v>
      </c>
      <c r="M3" s="45">
        <v>9.786673000000002e-06</v>
      </c>
      <c r="R3" s="3">
        <v>1</v>
      </c>
      <c r="S3" s="15">
        <v>39.41518</v>
      </c>
      <c r="T3" t="n">
        <f>(S3*0.001*9.786673*0.00001)/9.786673000000002e-06</f>
        <v>0.3941518</v>
      </c>
      <c r="U3" t="n">
        <f>(S3*0.001*0.0001)/9.786673000000002e-06</f>
        <v>0.402743404219187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39.41479</v>
      </c>
      <c r="T4" t="n">
        <f t="shared" ref="T4:T20" si="0">(S4*0.001*9.786673*0.00001)/9.786673000000002e-06</f>
        <v>0.3941479</v>
      </c>
      <c r="U4" t="n">
        <f t="shared" ref="U4:U20" si="1">(S4*0.001*0.0001)/9.786673000000002e-06</f>
        <v>0.402739419208142</v>
      </c>
    </row>
    <row r="5" spans="1:21" ht="16.5" x14ac:dyDescent="0.25">
      <c r="H5" t="s">
        <v>113</v>
      </c>
      <c r="I5" s="45" t="n">
        <f>(I4*9.786673*0.00001)/I3</f>
        <v>100</v>
      </c>
      <c r="J5" t="n">
        <f t="shared" ref="J5:M5" si="2">(J4*9.786673*0.00001)/J3</f>
        <v>9</v>
      </c>
      <c r="K5" t="n">
        <f t="shared" si="2"/>
        <v>12</v>
      </c>
      <c r="L5" t="n">
        <f t="shared" si="2"/>
        <v>20</v>
      </c>
      <c r="M5" t="n">
        <f t="shared" si="2"/>
        <v>4</v>
      </c>
      <c r="N5" t="n">
        <f>SUM(I5:M5)</f>
        <v>145</v>
      </c>
      <c r="R5" s="3">
        <v>3</v>
      </c>
      <c r="S5" s="15">
        <v>78.83531</v>
      </c>
      <c r="T5" t="n">
        <f t="shared" si="0"/>
        <v>0.7883531</v>
      </c>
      <c r="U5" t="n">
        <f t="shared" si="1"/>
        <v>0.805537387424715</v>
      </c>
    </row>
    <row r="6" spans="1:21" ht="16.5" x14ac:dyDescent="0.25">
      <c r="R6" s="3">
        <v>4</v>
      </c>
      <c r="S6" s="15">
        <v>78.83452</v>
      </c>
      <c r="T6" t="n">
        <f t="shared" si="0"/>
        <v>0.7883452</v>
      </c>
      <c r="U6" t="n">
        <f t="shared" si="1"/>
        <v>0.805529315222854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451.502755454546</v>
      </c>
      <c r="R7" s="3">
        <v>5</v>
      </c>
      <c r="S7" s="15">
        <v>197.08382</v>
      </c>
      <c r="T7" t="n">
        <f t="shared" si="0"/>
        <v>1.9708382</v>
      </c>
      <c r="U7" t="n">
        <f t="shared" si="1"/>
        <v>2.01379794747408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197.08185</v>
      </c>
      <c r="T8" t="n">
        <f t="shared" si="0"/>
        <v>1.9708185</v>
      </c>
      <c r="U8" t="n">
        <f t="shared" si="1"/>
        <v>2.01377781805931</v>
      </c>
    </row>
    <row r="9" spans="1:21" ht="16.5" x14ac:dyDescent="0.25">
      <c r="H9" t="s">
        <v>147</v>
      </c>
      <c r="I9" t="n">
        <f>(0.99985*I7*B7)/I8</f>
        <v>0.00902870060082455</v>
      </c>
      <c r="R9" s="3">
        <v>7</v>
      </c>
      <c r="S9" s="15">
        <v>394.17159</v>
      </c>
      <c r="T9" t="n">
        <f t="shared" si="0"/>
        <v>3.9417159</v>
      </c>
      <c r="U9" t="n">
        <f t="shared" si="1"/>
        <v>4.02763625595746</v>
      </c>
    </row>
    <row r="10" spans="1:21" ht="16.5" x14ac:dyDescent="0.25">
      <c r="R10" s="3">
        <v>8</v>
      </c>
      <c r="S10" s="15">
        <v>394.15188</v>
      </c>
      <c r="T10" t="n">
        <f t="shared" si="0"/>
        <v>3.9415188</v>
      </c>
      <c r="U10" t="n">
        <f t="shared" si="1"/>
        <v>4.02743485963003</v>
      </c>
    </row>
    <row r="11" spans="1:21" ht="16.5" x14ac:dyDescent="0.25">
      <c r="R11" s="3">
        <v>9</v>
      </c>
      <c r="S11" s="15">
        <v>788.3353</v>
      </c>
      <c r="T11" t="n">
        <f t="shared" si="0"/>
        <v>7.883353</v>
      </c>
      <c r="U11" t="n">
        <f t="shared" si="1"/>
        <v>8.05519199425586</v>
      </c>
    </row>
    <row r="12" spans="1:21" ht="16.5" x14ac:dyDescent="0.25">
      <c r="R12" s="3">
        <v>10</v>
      </c>
      <c r="S12" s="15">
        <v>788.36683</v>
      </c>
      <c r="T12" t="n">
        <f t="shared" si="0"/>
        <v>7.8836683</v>
      </c>
      <c r="U12" t="n">
        <f t="shared" si="1"/>
        <v>8.0555141670719</v>
      </c>
    </row>
    <row r="13" spans="1:21" ht="16.5" x14ac:dyDescent="0.25">
      <c r="R13" s="3">
        <v>11</v>
      </c>
      <c r="S13" s="15">
        <v>1970.83924</v>
      </c>
      <c r="T13" t="n">
        <f t="shared" si="0"/>
        <v>19.7083924</v>
      </c>
      <c r="U13" t="n">
        <f t="shared" si="1"/>
        <v>20.1379901014369</v>
      </c>
    </row>
    <row r="14" spans="1:21" ht="16.5" x14ac:dyDescent="0.25">
      <c r="R14" s="3">
        <v>12</v>
      </c>
      <c r="S14" s="15">
        <v>1970.74071</v>
      </c>
      <c r="T14" t="n">
        <f t="shared" si="0"/>
        <v>19.7074071</v>
      </c>
      <c r="U14" t="n">
        <f t="shared" si="1"/>
        <v>20.1369833241593</v>
      </c>
    </row>
    <row r="15" spans="1:21" ht="16.5" x14ac:dyDescent="0.25">
      <c r="R15" s="3">
        <v>13</v>
      </c>
      <c r="S15" s="15">
        <v>3941.7169</v>
      </c>
      <c r="T15" t="n">
        <f t="shared" si="0"/>
        <v>39.417169</v>
      </c>
      <c r="U15" t="n">
        <f t="shared" si="1"/>
        <v>40.2763727775517</v>
      </c>
    </row>
    <row r="16" spans="1:21" ht="16.5" x14ac:dyDescent="0.25">
      <c r="R16" s="3">
        <v>14</v>
      </c>
      <c r="S16" s="15">
        <v>3941.48041</v>
      </c>
      <c r="T16" t="n">
        <f t="shared" si="0"/>
        <v>39.4148041</v>
      </c>
      <c r="U16" t="n">
        <f t="shared" si="1"/>
        <v>40.2739563281618</v>
      </c>
    </row>
    <row r="17" spans="15:21" ht="16.5" x14ac:dyDescent="0.25">
      <c r="R17" s="3">
        <v>15</v>
      </c>
      <c r="S17" s="15">
        <v>7883.11949</v>
      </c>
      <c r="T17" t="n">
        <f t="shared" si="0"/>
        <v>78.8311949</v>
      </c>
      <c r="U17" t="n">
        <f t="shared" si="1"/>
        <v>80.5495339427403</v>
      </c>
    </row>
    <row r="18" spans="15:21" ht="16.5" x14ac:dyDescent="0.25">
      <c r="R18" s="3">
        <v>16</v>
      </c>
      <c r="S18" s="15">
        <v>7883.67129</v>
      </c>
      <c r="T18" t="n">
        <f t="shared" si="0"/>
        <v>78.8367129</v>
      </c>
      <c r="U18" t="n">
        <f t="shared" si="1"/>
        <v>80.5551722224703</v>
      </c>
    </row>
    <row r="19" spans="15:21" ht="16.5" x14ac:dyDescent="0.25">
      <c r="R19" s="3">
        <v>17</v>
      </c>
      <c r="S19" s="15">
        <v>19707.40407</v>
      </c>
      <c r="T19" t="n">
        <f t="shared" si="0"/>
        <v>197.0740407</v>
      </c>
      <c r="U19" t="n">
        <f t="shared" si="1"/>
        <v>201.369802281123</v>
      </c>
    </row>
    <row r="20" spans="15:21" ht="16.5" x14ac:dyDescent="0.25">
      <c r="R20" s="3" t="s">
        <v>108</v>
      </c>
      <c r="S20" s="15">
        <v>19707.99529</v>
      </c>
      <c r="T20" t="n">
        <f t="shared" si="0"/>
        <v>197.0799529</v>
      </c>
      <c r="U20" t="n">
        <f t="shared" si="1"/>
        <v>201.375843353507</v>
      </c>
    </row>
    <row r="21" spans="15:21" x14ac:dyDescent="0.25">
      <c r="O21" s="48" t="n">
        <f>S3+S4+S5+S6+S7+S8</f>
        <v>630.66547</v>
      </c>
      <c r="S21" s="48" t="n">
        <f>AVERAGE(S3:S13)</f>
        <v>451.502755454546</v>
      </c>
      <c r="T21" t="n">
        <f>SUM(T3:T20)</f>
        <v>700.0265847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