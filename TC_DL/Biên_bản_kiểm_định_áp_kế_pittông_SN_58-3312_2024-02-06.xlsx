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<sst xmlns="http://schemas.openxmlformats.org/spreadsheetml/2006/main" count="168" uniqueCount="150">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</sst>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78.83373</v>
      </c>
      <c r="C2" s="19">
        <v>0.788337</v>
      </c>
      <c r="E2" s="19" t="s">
        <v>43</v>
      </c>
      <c r="F2" s="19" t="n">
        <f>IF(E2="",0,VLOOKUP(E2,$A$2:$C$17,2,FALSE))</f>
        <v>7883.35597</v>
      </c>
      <c r="G2" s="19" t="n">
        <f>IF(E2="",0,VLOOKUP(E2,$A$2:$C$17,3,FALSE))</f>
        <v>78.83356</v>
      </c>
    </row>
    <row r="3" spans="1:7" ht="18.75" x14ac:dyDescent="0.3">
      <c r="A3" s="3">
        <v>1</v>
      </c>
      <c r="B3" s="15">
        <v>78.83373</v>
      </c>
      <c r="C3" s="19">
        <v>0.788337</v>
      </c>
      <c r="E3" s="19" t="s">
        <v>41</v>
      </c>
      <c r="F3" s="19" t="n">
        <f>IF(E3="",0,VLOOKUP(E3,$A$2:$C$17,2,FALSE))</f>
        <v>3941.63807</v>
      </c>
      <c r="G3" s="19" t="n">
        <f t="shared" ref="G3:G17" si="0">IF(E3="",0,VLOOKUP(E3,$A$2:$C$17,3,FALSE))</f>
        <v>39.416381</v>
      </c>
    </row>
    <row r="4" spans="1:7" ht="18.75" x14ac:dyDescent="0.3">
      <c r="A4" s="3">
        <v>2</v>
      </c>
      <c r="B4" s="15">
        <v>197.07594</v>
      </c>
      <c r="C4" s="19">
        <v>1.970759</v>
      </c>
      <c r="E4" s="19" t="s">
        <v>42</v>
      </c>
      <c r="F4" s="19" t="n">
        <f t="shared" ref="F4:F17" si="1">IF(E4="",0,VLOOKUP(E4,$A$2:$C$17,2,FALSE))</f>
        <v>3941.75632</v>
      </c>
      <c r="G4" s="19" t="n">
        <f t="shared" si="0"/>
        <v>39.417563</v>
      </c>
    </row>
    <row r="5" spans="1:7" ht="18.75" x14ac:dyDescent="0.3">
      <c r="A5" s="3" t="s">
        <v>22</v>
      </c>
      <c r="B5" s="15">
        <v>197.07791</v>
      </c>
      <c r="C5" s="19">
        <v>1.970779</v>
      </c>
      <c r="E5" s="19" t="s">
        <v>44</v>
      </c>
      <c r="F5" s="19" t="n">
        <f t="shared" si="1"/>
        <v>7883.4348</v>
      </c>
      <c r="G5" s="19" t="n">
        <f t="shared" si="0"/>
        <v>78.834348</v>
      </c>
    </row>
    <row r="6" spans="1:7" ht="18.75" x14ac:dyDescent="0.3">
      <c r="A6" s="3" t="s">
        <v>23</v>
      </c>
      <c r="B6" s="15">
        <v>394.16765</v>
      </c>
      <c r="C6" s="19">
        <v>3.941676</v>
      </c>
      <c r="E6" s="19" t="s">
        <v>45</v>
      </c>
      <c r="F6" s="19" t="n">
        <f t="shared" si="1"/>
        <v>19708.19236</v>
      </c>
      <c r="G6" s="19" t="n">
        <f t="shared" si="0"/>
        <v>197.081924</v>
      </c>
    </row>
    <row r="7" spans="1:7" ht="18.75" x14ac:dyDescent="0.3">
      <c r="A7" s="3">
        <v>10</v>
      </c>
      <c r="B7" s="15">
        <v>394.17947</v>
      </c>
      <c r="C7" s="19">
        <v>3.941795</v>
      </c>
      <c r="E7" s="19" t="s">
        <v>46</v>
      </c>
      <c r="F7" s="19" t="n">
        <f t="shared" si="1"/>
        <v>19708.5865</v>
      </c>
      <c r="G7" s="19" t="n">
        <f t="shared" si="0"/>
        <v>197.085865</v>
      </c>
    </row>
    <row r="8" spans="1:7" ht="18.75" x14ac:dyDescent="0.3">
      <c r="A8" s="3" t="s">
        <v>38</v>
      </c>
      <c r="B8" s="3">
        <v>788.3353</v>
      </c>
      <c r="C8" s="19">
        <v>7.883353</v>
      </c>
      <c r="E8" s="19" t="s">
        <v>40</v>
      </c>
      <c r="F8" s="19" t="n">
        <f t="shared" si="1"/>
        <v>1970.85895</v>
      </c>
      <c r="G8" s="19" t="n">
        <f t="shared" si="0"/>
        <v>19.708589</v>
      </c>
    </row>
    <row r="9" spans="1:7" ht="18.75" x14ac:dyDescent="0.3">
      <c r="A9" s="3">
        <v>20</v>
      </c>
      <c r="B9" s="16">
        <v>788.35895</v>
      </c>
      <c r="C9" s="19">
        <v>7.88359</v>
      </c>
      <c r="E9" s="19" t="s">
        <v>39</v>
      </c>
      <c r="F9" s="19" t="n">
        <f t="shared" si="1"/>
        <v>1970.89836</v>
      </c>
      <c r="G9" s="19" t="n">
        <f t="shared" si="0"/>
        <v>19.708984</v>
      </c>
    </row>
    <row r="10" spans="1:7" ht="18.75" x14ac:dyDescent="0.3">
      <c r="A10" s="3" t="s">
        <v>40</v>
      </c>
      <c r="B10" s="16">
        <v>1970.85895</v>
      </c>
      <c r="C10" s="19">
        <v>19.708589</v>
      </c>
      <c r="E10" s="19">
        <v>20</v>
      </c>
      <c r="F10" s="19" t="n">
        <f t="shared" si="1"/>
        <v>788.35895</v>
      </c>
      <c r="G10" s="19" t="n">
        <f t="shared" si="0"/>
        <v>7.88359</v>
      </c>
    </row>
    <row r="11" spans="1:7" ht="18.75" x14ac:dyDescent="0.3">
      <c r="A11" s="3" t="s">
        <v>39</v>
      </c>
      <c r="B11" s="16">
        <v>1970.89836</v>
      </c>
      <c r="C11" s="19">
        <v>19.708984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3941.63807</v>
      </c>
      <c r="C12" s="19">
        <v>39.416381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3941.75632</v>
      </c>
      <c r="C13" s="19">
        <v>39.417563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7883.35597</v>
      </c>
      <c r="C14" s="19">
        <v>78.83356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7883.4348</v>
      </c>
      <c r="C15" s="19">
        <v>78.834348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19708.19236</v>
      </c>
      <c r="C16" s="19">
        <v>197.081924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19708.5865</v>
      </c>
      <c r="C17" s="19">
        <v>197.085865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67797.08028</v>
      </c>
      <c r="G18" s="18" t="n">
        <f>SUM(G2:G17)</f>
        <v>677.970804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06 tháng 02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008/2024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39.41715</v>
      </c>
      <c r="M7" s="15" t="n">
        <f>(100*L7)/(100+N7)</f>
        <v>39.4139968802496</v>
      </c>
      <c r="N7" s="23">
        <v>0.008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39.41715</v>
      </c>
      <c r="M8" s="15" t="n">
        <f t="shared" ref="M8:M24" si="0">(100*L8)/(100+N8)</f>
        <v>39.4139968802496</v>
      </c>
      <c r="N8" s="23">
        <v>0.008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580</t>
        </is>
      </c>
      <c r="D9" s="4"/>
      <c r="E9" s="4"/>
      <c r="F9" s="4" t="s">
        <v>8</v>
      </c>
      <c r="G9" s="10" t="inlineStr">
        <is>
          <t xml:space="preserve">58-3312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78.83373</v>
      </c>
      <c r="M9" s="15" t="n">
        <f t="shared" si="0"/>
        <v>78.8290002599844</v>
      </c>
      <c r="N9" s="23">
        <v>0.006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DH-Budenberg / Anh</t>
        </is>
      </c>
      <c r="J10" s="3">
        <v>4</v>
      </c>
      <c r="K10" s="3" t="inlineStr">
        <is>
          <t xml:space="preserve">4</t>
        </is>
      </c>
      <c r="L10" s="15">
        <v>78.83373</v>
      </c>
      <c r="M10" s="15" t="n">
        <f t="shared" ref="M10" si="1">(100*L10)/(100+N10)</f>
        <v>78.8290002599844</v>
      </c>
      <c r="N10" s="23">
        <v>0.006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197.07791</v>
      </c>
      <c r="M11" s="15" t="n">
        <f>(100*L11)/(100+N11)</f>
        <v>197.071997840065</v>
      </c>
      <c r="N11" s="23">
        <v>0.003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(1 đến 700)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197.07594</v>
      </c>
      <c r="M12" s="15" t="n">
        <f t="shared" si="0"/>
        <v>197.071998560029</v>
      </c>
      <c r="N12" s="23">
        <v>0.002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394.17947</v>
      </c>
      <c r="M13" s="15" t="n">
        <f t="shared" si="0"/>
        <v>394.143997040266</v>
      </c>
      <c r="N13" s="23">
        <v>0.009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Công ty TNHH Khí công nghiệp Đông Phương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394.16765</v>
      </c>
      <c r="M14" s="15" t="n">
        <f t="shared" si="0"/>
        <v>394.144001359918</v>
      </c>
      <c r="N14" s="23">
        <v>0.006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788.3353</v>
      </c>
      <c r="M15" s="15" t="n">
        <f t="shared" si="0"/>
        <v>788.288002719837</v>
      </c>
      <c r="N15" s="23">
        <v>0.006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788.35895</v>
      </c>
      <c r="M16" s="15" t="n">
        <f t="shared" si="0"/>
        <v>788.288004079633</v>
      </c>
      <c r="N16" s="23">
        <v>0.009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1970.89836</v>
      </c>
      <c r="M17" s="15" t="n">
        <f t="shared" si="0"/>
        <v>1970.72099511044</v>
      </c>
      <c r="N17" s="23">
        <v>0.009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1970.85895</v>
      </c>
      <c r="M18" s="15" t="n">
        <f t="shared" si="0"/>
        <v>1970.72099953003</v>
      </c>
      <c r="N18" s="23">
        <v>0.007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(59 ± 5) %RH</t>
        </is>
      </c>
      <c r="F19" s="10"/>
      <c r="J19" s="3">
        <v>13</v>
      </c>
      <c r="K19" s="3" t="inlineStr">
        <is>
          <t xml:space="preserve">13</t>
        </is>
      </c>
      <c r="L19" s="15">
        <v>3941.63807</v>
      </c>
      <c r="M19" s="15" t="n">
        <f t="shared" si="0"/>
        <v>3941.4409979501</v>
      </c>
      <c r="N19" s="23">
        <v>0.005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45328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3941.75632</v>
      </c>
      <c r="M20" s="15" t="n">
        <f t="shared" si="0"/>
        <v>3941.44100471962</v>
      </c>
      <c r="N20" s="23">
        <v>0.008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7883.35597</v>
      </c>
      <c r="M21" s="15" t="n">
        <f t="shared" si="0"/>
        <v>7882.88299702018</v>
      </c>
      <c r="N21" s="23">
        <v>0.006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7883.4348</v>
      </c>
      <c r="M22" s="15" t="n">
        <f t="shared" si="0"/>
        <v>7882.88299819013</v>
      </c>
      <c r="N22" s="3">
        <v>0.007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19708.5865</v>
      </c>
      <c r="M23" s="15" t="n">
        <f t="shared" si="0"/>
        <v>19707.2069955103</v>
      </c>
      <c r="N23" s="3">
        <v>0.007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19708.19236</v>
      </c>
      <c r="M24" s="62" t="n">
        <f t="shared" si="0"/>
        <v>19707.20699965</v>
      </c>
      <c r="N24" s="61">
        <v>0.005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Lê Minh Châu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2.7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17.1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210.7</v>
      </c>
      <c r="B60" s="70"/>
      <c r="C60" s="70"/>
      <c r="D60" s="70">
        <v>201.2</v>
      </c>
      <c r="E60" s="70"/>
      <c r="F60" s="70">
        <v>205.95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0.32</v>
      </c>
      <c r="B66" s="73"/>
      <c r="C66" s="72">
        <v>0.34</v>
      </c>
      <c r="D66" s="73"/>
      <c r="E66" s="3">
        <v>0.35</v>
      </c>
      <c r="F66" s="70">
        <v>0.337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9.786673000000002e-06</v>
      </c>
    </row>
    <row r="6" spans="1:14" ht="18.600000000000001" customHeight="1" x14ac:dyDescent="0.25">
      <c r="A6" s="13">
        <v>1</v>
      </c>
      <c r="B6" s="46">
        <v>70.0</v>
      </c>
      <c r="C6" s="47" t="inlineStr">
        <is>
          <t xml:space="preserve">3,11,15,16</t>
        </is>
      </c>
      <c r="D6" s="49">
        <v>6999.978</v>
      </c>
      <c r="E6" s="22">
        <v>0.022</v>
      </c>
      <c r="F6" s="49" t="n">
        <f>D6+E6</f>
        <v>7000</v>
      </c>
      <c r="G6" s="51">
        <v>1015.69</v>
      </c>
      <c r="H6" s="46">
        <v>64.3</v>
      </c>
      <c r="I6" s="46">
        <v>20.4</v>
      </c>
      <c r="M6" s="21" t="e">
        <f>B6*#REF!</f>
        <v>#NAME?</v>
      </c>
      <c r="N6" s="50" t="n">
        <f>$N$5*D6/'Tính toán'!$D$3</f>
        <v>849.831050914245</v>
      </c>
    </row>
    <row r="7" spans="1:14" ht="18.600000000000001" customHeight="1" x14ac:dyDescent="0.25">
      <c r="A7" s="13">
        <v>2</v>
      </c>
      <c r="B7" s="46">
        <v>140.0</v>
      </c>
      <c r="C7" s="47" t="inlineStr">
        <is>
          <t xml:space="preserve">7,11</t>
        </is>
      </c>
      <c r="D7" s="49">
        <v>13999.967</v>
      </c>
      <c r="E7" s="22">
        <v>0.033</v>
      </c>
      <c r="F7" s="49" t="n">
        <f t="shared" ref="F7:F15" si="0">D7+E7</f>
        <v>14000</v>
      </c>
      <c r="G7" s="51">
        <v>1013.85</v>
      </c>
      <c r="H7" s="46">
        <v>59.3</v>
      </c>
      <c r="I7" s="46">
        <v>19.9</v>
      </c>
      <c r="M7" s="21" t="e">
        <f>B7*#REF!</f>
        <v>#NAME?</v>
      </c>
      <c r="N7" s="1" t="n">
        <f>$N$5*D7/'Tính toán'!$D$3</f>
        <v>1699.66343728148</v>
      </c>
    </row>
    <row r="8" spans="1:14" ht="18.600000000000001" customHeight="1" x14ac:dyDescent="0.25">
      <c r="A8" s="13">
        <v>3</v>
      </c>
      <c r="B8" s="46">
        <v>210.0</v>
      </c>
      <c r="C8" s="47" t="inlineStr">
        <is>
          <t xml:space="preserve">7,18</t>
        </is>
      </c>
      <c r="D8" s="49">
        <v>20999.966</v>
      </c>
      <c r="E8" s="22">
        <v>0.034</v>
      </c>
      <c r="F8" s="49" t="n">
        <f t="shared" si="0"/>
        <v>21000</v>
      </c>
      <c r="G8" s="51">
        <v>1006.6</v>
      </c>
      <c r="H8" s="46">
        <v>59.0</v>
      </c>
      <c r="I8" s="46">
        <v>19.8</v>
      </c>
      <c r="M8" s="21" t="e">
        <f>B8*#REF!</f>
        <v>#NAME?</v>
      </c>
      <c r="N8" s="1" t="n">
        <f>$N$5*D8/'Tính toán'!$D$3</f>
        <v>2549.49703769689</v>
      </c>
    </row>
    <row r="9" spans="1:14" ht="18.600000000000001" customHeight="1" x14ac:dyDescent="0.25">
      <c r="A9" s="13">
        <v>4</v>
      </c>
      <c r="B9" s="46">
        <v>280.0</v>
      </c>
      <c r="C9" s="47" t="inlineStr">
        <is>
          <t xml:space="preserve">3,11</t>
        </is>
      </c>
      <c r="D9" s="49">
        <v>27999.956</v>
      </c>
      <c r="E9" s="22">
        <v>0.044</v>
      </c>
      <c r="F9" s="49" t="n">
        <f t="shared" si="0"/>
        <v>28000</v>
      </c>
      <c r="G9" s="51">
        <v>1007.64</v>
      </c>
      <c r="H9" s="46">
        <v>61.6</v>
      </c>
      <c r="I9" s="46">
        <v>19.9</v>
      </c>
      <c r="M9" s="21" t="e">
        <f>B9*#REF!</f>
        <v>#NAME?</v>
      </c>
      <c r="N9" s="1" t="n">
        <f>$N$5*D9/'Tính toán'!$D$3</f>
        <v>3399.32954546895</v>
      </c>
    </row>
    <row r="10" spans="1:14" ht="18.600000000000001" customHeight="1" x14ac:dyDescent="0.25">
      <c r="A10" s="13">
        <v>5</v>
      </c>
      <c r="B10" s="46">
        <v>350.0</v>
      </c>
      <c r="C10" s="47" t="inlineStr">
        <is>
          <t xml:space="preserve">8,11,18</t>
        </is>
      </c>
      <c r="D10" s="49">
        <v>34999.984</v>
      </c>
      <c r="E10" s="22">
        <v>0.016</v>
      </c>
      <c r="F10" s="49" t="n">
        <f t="shared" si="0"/>
        <v>35000</v>
      </c>
      <c r="G10" s="51">
        <v>1009.17</v>
      </c>
      <c r="H10" s="46">
        <v>55.3</v>
      </c>
      <c r="I10" s="46">
        <v>20.8</v>
      </c>
      <c r="M10" s="21" t="e">
        <f>B10*#REF!</f>
        <v>#NAME?</v>
      </c>
      <c r="N10" s="1" t="n">
        <f>$N$5*D10/'Tính toán'!$D$3</f>
        <v>4249.16666662406</v>
      </c>
    </row>
    <row r="11" spans="1:14" ht="18.600000000000001" customHeight="1" x14ac:dyDescent="0.25">
      <c r="A11" s="13">
        <v>6</v>
      </c>
      <c r="B11" s="46">
        <v>420.0</v>
      </c>
      <c r="C11" s="47" t="inlineStr">
        <is>
          <t xml:space="preserve">2,11,13,16</t>
        </is>
      </c>
      <c r="D11" s="49">
        <v>41999.977</v>
      </c>
      <c r="E11" s="22">
        <v>0.023</v>
      </c>
      <c r="F11" s="49" t="n">
        <f t="shared" si="0"/>
        <v>42000</v>
      </c>
      <c r="G11" s="51">
        <v>1007.27</v>
      </c>
      <c r="H11" s="46">
        <v>57.3</v>
      </c>
      <c r="I11" s="46">
        <v>20.0</v>
      </c>
      <c r="M11" s="21" t="e">
        <f>B11*#REF!</f>
        <v>#NAME?</v>
      </c>
      <c r="N11" s="1" t="n">
        <f>$N$5*D11/'Tính toán'!$D$4</f>
        <v>101972.021431022</v>
      </c>
    </row>
    <row r="12" spans="1:14" ht="18.600000000000001" customHeight="1" x14ac:dyDescent="0.25">
      <c r="A12" s="13">
        <v>7</v>
      </c>
      <c r="B12" s="46">
        <v>490.0</v>
      </c>
      <c r="C12" s="47" t="inlineStr">
        <is>
          <t xml:space="preserve">8,17</t>
        </is>
      </c>
      <c r="D12" s="49">
        <v>48999.979</v>
      </c>
      <c r="E12" s="22">
        <v>0.021</v>
      </c>
      <c r="F12" s="49" t="n">
        <f t="shared" si="0"/>
        <v>49000</v>
      </c>
      <c r="G12" s="51">
        <v>1006.0</v>
      </c>
      <c r="H12" s="46">
        <v>57.7</v>
      </c>
      <c r="I12" s="46">
        <v>21.0</v>
      </c>
    </row>
    <row r="13" spans="1:14" s="32" customFormat="1" ht="22.5" customHeight="1" x14ac:dyDescent="0.25">
      <c r="A13" s="13">
        <v>8</v>
      </c>
      <c r="B13" s="46">
        <v>560.0</v>
      </c>
      <c r="C13" s="47" t="inlineStr">
        <is>
          <t xml:space="preserve">6,7,18</t>
        </is>
      </c>
      <c r="D13" s="49">
        <v>55999.995</v>
      </c>
      <c r="E13" s="22">
        <v>0.005</v>
      </c>
      <c r="F13" s="49" t="n">
        <f t="shared" si="0"/>
        <v>56000</v>
      </c>
      <c r="G13" s="51">
        <v>1005.19</v>
      </c>
      <c r="H13" s="46">
        <v>57.4</v>
      </c>
      <c r="I13" s="60">
        <v>20.5</v>
      </c>
      <c r="J13" s="40"/>
    </row>
    <row r="14" spans="1:14" s="34" customFormat="1" ht="22.5" customHeight="1" x14ac:dyDescent="0.25">
      <c r="A14" s="13">
        <v>9</v>
      </c>
      <c r="B14" s="46">
        <v>630.0</v>
      </c>
      <c r="C14" s="47" t="inlineStr">
        <is>
          <t xml:space="preserve">13,15,16</t>
        </is>
      </c>
      <c r="D14" s="49">
        <v>62999.982</v>
      </c>
      <c r="E14" s="22">
        <v>0.018</v>
      </c>
      <c r="F14" s="49" t="n">
        <f t="shared" si="0"/>
        <v>63000</v>
      </c>
      <c r="G14" s="51">
        <v>1007.61</v>
      </c>
      <c r="H14" s="46">
        <v>63.6</v>
      </c>
      <c r="I14" s="60">
        <v>20.9</v>
      </c>
      <c r="J14" s="40"/>
    </row>
    <row r="15" spans="1:14" s="35" customFormat="1" ht="22.5" customHeight="1" x14ac:dyDescent="0.25">
      <c r="A15" s="52">
        <v>10</v>
      </c>
      <c r="B15" s="53">
        <v>700.0</v>
      </c>
      <c r="C15" s="47" t="inlineStr">
        <is>
          <t xml:space="preserve">3,4,15</t>
        </is>
      </c>
      <c r="D15" s="49">
        <v>69999.955</v>
      </c>
      <c r="E15" s="22">
        <v>0.045</v>
      </c>
      <c r="F15" s="49" t="n">
        <f t="shared" si="0"/>
        <v>70000</v>
      </c>
      <c r="G15" s="51">
        <v>1012.4</v>
      </c>
      <c r="H15" s="46">
        <v>64.7</v>
      </c>
      <c r="I15" s="60">
        <v>19.5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0,97867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88,200 × 10-3 (bar) </t>
        </is>
      </c>
      <c r="F18" s="31" t="inlineStr">
        <is>
          <t xml:space="preserve">tại p = 490,0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176,400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9.786673000000002e-06</v>
      </c>
      <c r="J3" s="45">
        <v>9.786673000000002e-06</v>
      </c>
      <c r="K3" s="45">
        <v>9.786673000000002e-06</v>
      </c>
      <c r="L3" s="45">
        <v>9.786673000000002e-06</v>
      </c>
      <c r="M3" s="45">
        <v>9.786673000000002e-06</v>
      </c>
      <c r="R3" s="3">
        <v>1</v>
      </c>
      <c r="S3" s="15">
        <v>39.41715</v>
      </c>
      <c r="T3" t="n">
        <f>(S3*0.001*9.786673*0.00001)/9.786673000000002e-06</f>
        <v>0.3941715</v>
      </c>
      <c r="U3" t="n">
        <f>(S3*0.001*0.0001)/9.786673000000002e-06</f>
        <v>0.402763533633953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39.41715</v>
      </c>
      <c r="T4" t="n">
        <f t="shared" ref="T4:T20" si="0">(S4*0.001*9.786673*0.00001)/9.786673000000002e-06</f>
        <v>0.3941715</v>
      </c>
      <c r="U4" t="n">
        <f t="shared" ref="U4:U20" si="1">(S4*0.001*0.0001)/9.786673000000002e-06</f>
        <v>0.402763533633953</v>
      </c>
    </row>
    <row r="5" spans="1:21" ht="16.5" x14ac:dyDescent="0.25">
      <c r="H5" t="s">
        <v>113</v>
      </c>
      <c r="I5" s="45" t="n">
        <f>(I4*9.786673*0.00001)/I3</f>
        <v>100</v>
      </c>
      <c r="J5" t="n">
        <f t="shared" ref="J5:M5" si="2">(J4*9.786673*0.00001)/J3</f>
        <v>9</v>
      </c>
      <c r="K5" t="n">
        <f t="shared" si="2"/>
        <v>12</v>
      </c>
      <c r="L5" t="n">
        <f t="shared" si="2"/>
        <v>20</v>
      </c>
      <c r="M5" t="n">
        <f t="shared" si="2"/>
        <v>4</v>
      </c>
      <c r="N5" t="n">
        <f>SUM(I5:M5)</f>
        <v>145</v>
      </c>
      <c r="R5" s="3">
        <v>3</v>
      </c>
      <c r="S5" s="15">
        <v>78.83373</v>
      </c>
      <c r="T5" t="n">
        <f t="shared" si="0"/>
        <v>0.7883373</v>
      </c>
      <c r="U5" t="n">
        <f t="shared" si="1"/>
        <v>0.805521243020994</v>
      </c>
    </row>
    <row r="6" spans="1:21" ht="16.5" x14ac:dyDescent="0.25">
      <c r="R6" s="3">
        <v>4</v>
      </c>
      <c r="S6" s="15">
        <v>78.83373</v>
      </c>
      <c r="T6" t="n">
        <f t="shared" si="0"/>
        <v>0.7883373</v>
      </c>
      <c r="U6" t="n">
        <f t="shared" si="1"/>
        <v>0.805521243020994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451.508667272727</v>
      </c>
      <c r="R7" s="3">
        <v>5</v>
      </c>
      <c r="S7" s="15">
        <v>197.07791</v>
      </c>
      <c r="T7" t="n">
        <f t="shared" si="0"/>
        <v>1.9707791</v>
      </c>
      <c r="U7" t="n">
        <f t="shared" si="1"/>
        <v>2.01373755922978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197.07594</v>
      </c>
      <c r="T8" t="n">
        <f t="shared" si="0"/>
        <v>1.9707594</v>
      </c>
      <c r="U8" t="n">
        <f t="shared" si="1"/>
        <v>2.01371742981501</v>
      </c>
    </row>
    <row r="9" spans="1:21" ht="16.5" x14ac:dyDescent="0.25">
      <c r="H9" t="s">
        <v>147</v>
      </c>
      <c r="I9" t="n">
        <f>(0.99985*I7*B7)/I8</f>
        <v>0.00902881881945273</v>
      </c>
      <c r="R9" s="3">
        <v>7</v>
      </c>
      <c r="S9" s="15">
        <v>394.17947</v>
      </c>
      <c r="T9" t="n">
        <f t="shared" si="0"/>
        <v>3.9417947</v>
      </c>
      <c r="U9" t="n">
        <f t="shared" si="1"/>
        <v>4.02771677361653</v>
      </c>
    </row>
    <row r="10" spans="1:21" ht="16.5" x14ac:dyDescent="0.25">
      <c r="R10" s="3">
        <v>8</v>
      </c>
      <c r="S10" s="15">
        <v>394.16765</v>
      </c>
      <c r="T10" t="n">
        <f t="shared" si="0"/>
        <v>3.9416765</v>
      </c>
      <c r="U10" t="n">
        <f t="shared" si="1"/>
        <v>4.02759599712793</v>
      </c>
    </row>
    <row r="11" spans="1:21" ht="16.5" x14ac:dyDescent="0.25">
      <c r="R11" s="3">
        <v>9</v>
      </c>
      <c r="S11" s="15">
        <v>788.3353</v>
      </c>
      <c r="T11" t="n">
        <f t="shared" si="0"/>
        <v>7.883353</v>
      </c>
      <c r="U11" t="n">
        <f t="shared" si="1"/>
        <v>8.05519199425586</v>
      </c>
    </row>
    <row r="12" spans="1:21" ht="16.5" x14ac:dyDescent="0.25">
      <c r="R12" s="3">
        <v>10</v>
      </c>
      <c r="S12" s="15">
        <v>788.35895</v>
      </c>
      <c r="T12" t="n">
        <f t="shared" si="0"/>
        <v>7.8835895</v>
      </c>
      <c r="U12" t="n">
        <f t="shared" si="1"/>
        <v>8.05543364941283</v>
      </c>
    </row>
    <row r="13" spans="1:21" ht="16.5" x14ac:dyDescent="0.25">
      <c r="R13" s="3">
        <v>11</v>
      </c>
      <c r="S13" s="15">
        <v>1970.89836</v>
      </c>
      <c r="T13" t="n">
        <f t="shared" si="0"/>
        <v>19.7089836</v>
      </c>
      <c r="U13" t="n">
        <f t="shared" si="1"/>
        <v>20.1385941882395</v>
      </c>
    </row>
    <row r="14" spans="1:21" ht="16.5" x14ac:dyDescent="0.25">
      <c r="R14" s="3">
        <v>12</v>
      </c>
      <c r="S14" s="15">
        <v>1970.85895</v>
      </c>
      <c r="T14" t="n">
        <f t="shared" si="0"/>
        <v>19.7085895</v>
      </c>
      <c r="U14" t="n">
        <f t="shared" si="1"/>
        <v>20.1381914977644</v>
      </c>
    </row>
    <row r="15" spans="1:21" ht="16.5" x14ac:dyDescent="0.25">
      <c r="R15" s="3">
        <v>13</v>
      </c>
      <c r="S15" s="15">
        <v>3941.63807</v>
      </c>
      <c r="T15" t="n">
        <f t="shared" si="0"/>
        <v>39.4163807</v>
      </c>
      <c r="U15" t="n">
        <f t="shared" si="1"/>
        <v>40.2755672944217</v>
      </c>
    </row>
    <row r="16" spans="1:21" ht="16.5" x14ac:dyDescent="0.25">
      <c r="R16" s="3">
        <v>14</v>
      </c>
      <c r="S16" s="15">
        <v>3941.75632</v>
      </c>
      <c r="T16" t="n">
        <f t="shared" si="0"/>
        <v>39.4175632</v>
      </c>
      <c r="U16" t="n">
        <f t="shared" si="1"/>
        <v>40.2767755702065</v>
      </c>
    </row>
    <row r="17" spans="15:21" ht="16.5" x14ac:dyDescent="0.25">
      <c r="R17" s="3">
        <v>15</v>
      </c>
      <c r="S17" s="15">
        <v>7883.35597</v>
      </c>
      <c r="T17" t="n">
        <f t="shared" si="0"/>
        <v>78.8335597</v>
      </c>
      <c r="U17" t="n">
        <f t="shared" si="1"/>
        <v>80.5519502899504</v>
      </c>
    </row>
    <row r="18" spans="15:21" ht="16.5" x14ac:dyDescent="0.25">
      <c r="R18" s="3">
        <v>16</v>
      </c>
      <c r="S18" s="15">
        <v>7883.4348</v>
      </c>
      <c r="T18" t="n">
        <f t="shared" si="0"/>
        <v>78.834348</v>
      </c>
      <c r="U18" t="n">
        <f t="shared" si="1"/>
        <v>80.5527557730804</v>
      </c>
    </row>
    <row r="19" spans="15:21" ht="16.5" x14ac:dyDescent="0.25">
      <c r="R19" s="3">
        <v>17</v>
      </c>
      <c r="S19" s="15">
        <v>19708.5865</v>
      </c>
      <c r="T19" t="n">
        <f t="shared" si="0"/>
        <v>197.085865</v>
      </c>
      <c r="U19" t="n">
        <f t="shared" si="1"/>
        <v>201.381884323712</v>
      </c>
    </row>
    <row r="20" spans="15:21" ht="16.5" x14ac:dyDescent="0.25">
      <c r="R20" s="3" t="s">
        <v>108</v>
      </c>
      <c r="S20" s="15">
        <v>19708.19236</v>
      </c>
      <c r="T20" t="n">
        <f t="shared" si="0"/>
        <v>197.0819236</v>
      </c>
      <c r="U20" t="n">
        <f t="shared" si="1"/>
        <v>201.377857010242</v>
      </c>
    </row>
    <row r="21" spans="15:21" x14ac:dyDescent="0.25">
      <c r="O21" s="48" t="n">
        <f>S3+S4+S5+S6+S7+S8</f>
        <v>630.65561</v>
      </c>
      <c r="S21" s="48" t="n">
        <f>AVERAGE(S3:S13)</f>
        <v>451.508667272727</v>
      </c>
      <c r="T21" t="n">
        <f>SUM(T3:T20)</f>
        <v>700.0441831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