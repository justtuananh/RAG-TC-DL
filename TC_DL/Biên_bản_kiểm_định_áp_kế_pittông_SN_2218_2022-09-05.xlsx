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<sst xmlns="http://schemas.openxmlformats.org/spreadsheetml/2006/main" count="168" uniqueCount="150">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</sst>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(kG/cm2)</t>
        </is>
      </c>
    </row>
    <row r="2" spans="1:7" ht="18.75" x14ac:dyDescent="0.3">
      <c r="A2" s="3" t="s">
        <v>21</v>
      </c>
      <c r="B2" s="15">
        <v>112.6175</v>
      </c>
      <c r="C2" s="19">
        <v>0.675705</v>
      </c>
      <c r="E2" s="19" t="s">
        <v>43</v>
      </c>
      <c r="F2" s="19" t="n">
        <f>IF(E2="",0,VLOOKUP(E2,$A$2:$C$17,2,FALSE))</f>
        <v>11263.28803</v>
      </c>
      <c r="G2" s="19" t="n">
        <f>IF(E2="",0,VLOOKUP(E2,$A$2:$C$17,3,FALSE))</f>
        <v>67.579728</v>
      </c>
    </row>
    <row r="3" spans="1:7" ht="18.75" x14ac:dyDescent="0.3">
      <c r="A3" s="3">
        <v>1</v>
      </c>
      <c r="B3" s="15">
        <v>112.62764</v>
      </c>
      <c r="C3" s="19">
        <v>0.675766</v>
      </c>
      <c r="E3" s="19" t="s">
        <v>41</v>
      </c>
      <c r="F3" s="19" t="n">
        <f>IF(E3="",0,VLOOKUP(E3,$A$2:$C$17,2,FALSE))</f>
        <v>5631.08145</v>
      </c>
      <c r="G3" s="19" t="n">
        <f t="shared" ref="G3:G17" si="0">IF(E3="",0,VLOOKUP(E3,$A$2:$C$17,3,FALSE))</f>
        <v>33.786489</v>
      </c>
    </row>
    <row r="4" spans="1:7" ht="18.75" x14ac:dyDescent="0.3">
      <c r="A4" s="3">
        <v>2</v>
      </c>
      <c r="B4" s="15">
        <v>281.57141</v>
      </c>
      <c r="C4" s="19">
        <v>1.689428</v>
      </c>
      <c r="E4" s="19" t="s">
        <v>42</v>
      </c>
      <c r="F4" s="19" t="n">
        <f t="shared" ref="F4:F17" si="1">IF(E4="",0,VLOOKUP(E4,$A$2:$C$17,2,FALSE))</f>
        <v>5631.58821</v>
      </c>
      <c r="G4" s="19" t="n">
        <f t="shared" si="0"/>
        <v>33.789529</v>
      </c>
    </row>
    <row r="5" spans="1:7" ht="18.75" x14ac:dyDescent="0.3">
      <c r="A5" s="3" t="s">
        <v>22</v>
      </c>
      <c r="B5" s="15">
        <v>281.58549</v>
      </c>
      <c r="C5" s="19">
        <v>1.689513</v>
      </c>
      <c r="E5" s="19" t="s">
        <v>44</v>
      </c>
      <c r="F5" s="19" t="n">
        <f t="shared" si="1"/>
        <v>11263.9637</v>
      </c>
      <c r="G5" s="19" t="n">
        <f t="shared" si="0"/>
        <v>67.583782</v>
      </c>
    </row>
    <row r="6" spans="1:7" ht="18.75" x14ac:dyDescent="0.3">
      <c r="A6" s="3" t="s">
        <v>23</v>
      </c>
      <c r="B6" s="15">
        <v>563.07989</v>
      </c>
      <c r="C6" s="19">
        <v>3.378479</v>
      </c>
      <c r="E6" s="19" t="s">
        <v>45</v>
      </c>
      <c r="F6" s="19" t="n">
        <f t="shared" si="1"/>
        <v>28154.56066</v>
      </c>
      <c r="G6" s="19" t="n">
        <f t="shared" si="0"/>
        <v>168.927364</v>
      </c>
    </row>
    <row r="7" spans="1:7" ht="18.75" x14ac:dyDescent="0.3">
      <c r="A7" s="3">
        <v>10</v>
      </c>
      <c r="B7" s="15">
        <v>563.18124</v>
      </c>
      <c r="C7" s="19">
        <v>3.379087</v>
      </c>
      <c r="E7" s="19" t="s">
        <v>46</v>
      </c>
      <c r="F7" s="19" t="n">
        <f t="shared" si="1"/>
        <v>28155.68678</v>
      </c>
      <c r="G7" s="19" t="n">
        <f t="shared" si="0"/>
        <v>168.934121</v>
      </c>
    </row>
    <row r="8" spans="1:7" ht="18.75" x14ac:dyDescent="0.3">
      <c r="A8" s="3" t="s">
        <v>38</v>
      </c>
      <c r="B8" s="3">
        <v>1126.28366</v>
      </c>
      <c r="C8" s="19">
        <v>6.757702</v>
      </c>
      <c r="E8" s="19" t="s">
        <v>40</v>
      </c>
      <c r="F8" s="19" t="n">
        <f t="shared" si="1"/>
        <v>2815.87806</v>
      </c>
      <c r="G8" s="19" t="n">
        <f t="shared" si="0"/>
        <v>16.895268</v>
      </c>
    </row>
    <row r="9" spans="1:7" ht="18.75" x14ac:dyDescent="0.3">
      <c r="A9" s="3">
        <v>20</v>
      </c>
      <c r="B9" s="16">
        <v>1126.30618</v>
      </c>
      <c r="C9" s="19">
        <v>6.757837</v>
      </c>
      <c r="E9" s="19" t="s">
        <v>39</v>
      </c>
      <c r="F9" s="19" t="n">
        <f t="shared" si="1"/>
        <v>2815.87806</v>
      </c>
      <c r="G9" s="19" t="n">
        <f t="shared" si="0"/>
        <v>16.895268</v>
      </c>
    </row>
    <row r="10" spans="1:7" ht="18.75" x14ac:dyDescent="0.3">
      <c r="A10" s="3" t="s">
        <v>40</v>
      </c>
      <c r="B10" s="16">
        <v>2815.87806</v>
      </c>
      <c r="C10" s="19">
        <v>16.895268</v>
      </c>
      <c r="E10" s="19">
        <v>20</v>
      </c>
      <c r="F10" s="19" t="n">
        <f t="shared" si="1"/>
        <v>1126.30618</v>
      </c>
      <c r="G10" s="19" t="n">
        <f t="shared" si="0"/>
        <v>6.757837</v>
      </c>
    </row>
    <row r="11" spans="1:7" ht="18.75" x14ac:dyDescent="0.3">
      <c r="A11" s="3" t="s">
        <v>39</v>
      </c>
      <c r="B11" s="16">
        <v>2815.87806</v>
      </c>
      <c r="C11" s="19">
        <v>16.895268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5631.08145</v>
      </c>
      <c r="C12" s="19">
        <v>33.786489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5631.58821</v>
      </c>
      <c r="C13" s="19">
        <v>33.789529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11263.28803</v>
      </c>
      <c r="C14" s="19">
        <v>67.579728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11263.9637</v>
      </c>
      <c r="C15" s="19">
        <v>67.583782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28154.56066</v>
      </c>
      <c r="C16" s="19">
        <v>168.927364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28155.68678</v>
      </c>
      <c r="C17" s="19">
        <v>168.934121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96858.23113</v>
      </c>
      <c r="G18" s="18" t="n">
        <f>SUM(G2:G17)</f>
        <v>581.149386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05 tháng 09 năm 2022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001/2022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56.31107</v>
      </c>
      <c r="M7" s="15" t="n">
        <f>(100*L7)/(100+N7)</f>
        <v>56.3060024597786</v>
      </c>
      <c r="N7" s="23">
        <v>0.009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56.31163</v>
      </c>
      <c r="M8" s="15" t="n">
        <f t="shared" ref="M8:M24" si="0">(100*L8)/(100+N8)</f>
        <v>56.30599940006</v>
      </c>
      <c r="N8" s="23">
        <v>0.01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МП-600</t>
        </is>
      </c>
      <c r="D9" s="4"/>
      <c r="E9" s="4"/>
      <c r="F9" s="4" t="s">
        <v>8</v>
      </c>
      <c r="G9" s="10" t="inlineStr">
        <is>
          <t xml:space="preserve">2218</t>
        </is>
      </c>
      <c r="H9" s="4"/>
      <c r="I9" s="4"/>
      <c r="J9" s="3">
        <v>3</v>
      </c>
      <c r="K9" s="3" t="inlineStr">
        <is>
          <t xml:space="preserve">3</t>
        </is>
      </c>
      <c r="L9" s="15">
        <v>112.6175</v>
      </c>
      <c r="M9" s="15" t="n">
        <f t="shared" si="0"/>
        <v>112.612995480181</v>
      </c>
      <c r="N9" s="23">
        <v>0.004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112.62764</v>
      </c>
      <c r="M10" s="15" t="n">
        <f t="shared" ref="M10" si="1">(100*L10)/(100+N10)</f>
        <v>112.61300030996</v>
      </c>
      <c r="N10" s="23">
        <v>0.013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281.58549</v>
      </c>
      <c r="M11" s="15" t="n">
        <f>(100*L11)/(100+N11)</f>
        <v>281.531998920205</v>
      </c>
      <c r="N11" s="23">
        <v>0.019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(10 đến 600) kgf/cm2;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281.57141</v>
      </c>
      <c r="M12" s="15" t="n">
        <f t="shared" si="0"/>
        <v>281.531995520627</v>
      </c>
      <c r="N12" s="23">
        <v>0.014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563.07989</v>
      </c>
      <c r="M13" s="15" t="n">
        <f t="shared" si="0"/>
        <v>563.062998110057</v>
      </c>
      <c r="N13" s="23">
        <v>0.003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Nhà máy Nhiệt điện Sông Lam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563.18124</v>
      </c>
      <c r="M14" s="15" t="n">
        <f t="shared" si="0"/>
        <v>563.062996770678</v>
      </c>
      <c r="N14" s="23">
        <v>0.021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1126.28366</v>
      </c>
      <c r="M15" s="15" t="n">
        <f t="shared" si="0"/>
        <v>1126.12600235967</v>
      </c>
      <c r="N15" s="23">
        <v>0.014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1126.30618</v>
      </c>
      <c r="M16" s="15" t="n">
        <f t="shared" si="0"/>
        <v>1126.12599984003</v>
      </c>
      <c r="N16" s="23">
        <v>0.016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2815.87806</v>
      </c>
      <c r="M17" s="15" t="n">
        <f t="shared" si="0"/>
        <v>2815.3149970006</v>
      </c>
      <c r="N17" s="23">
        <v>0.02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(20 ± 2) ºC</t>
        </is>
      </c>
      <c r="F18" s="10"/>
      <c r="J18" s="3">
        <v>12</v>
      </c>
      <c r="K18" s="3" t="inlineStr">
        <is>
          <t xml:space="preserve">12</t>
        </is>
      </c>
      <c r="L18" s="15">
        <v>2815.87806</v>
      </c>
      <c r="M18" s="15" t="n">
        <f t="shared" si="0"/>
        <v>2815.3149970006</v>
      </c>
      <c r="N18" s="23">
        <v>0.02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(58 ± 5) %RH</t>
        </is>
      </c>
      <c r="F19" s="10"/>
      <c r="J19" s="3">
        <v>13</v>
      </c>
      <c r="K19" s="3" t="inlineStr">
        <is>
          <t xml:space="preserve">13</t>
        </is>
      </c>
      <c r="L19" s="15">
        <v>5631.58821</v>
      </c>
      <c r="M19" s="15" t="n">
        <f t="shared" si="0"/>
        <v>5630.63100272954</v>
      </c>
      <c r="N19" s="23">
        <v>0.017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44809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5631.08145</v>
      </c>
      <c r="M20" s="15" t="n">
        <f t="shared" si="0"/>
        <v>5630.63099952004</v>
      </c>
      <c r="N20" s="23">
        <v>0.008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11263.9637</v>
      </c>
      <c r="M21" s="15" t="n">
        <f t="shared" si="0"/>
        <v>11261.2609973606</v>
      </c>
      <c r="N21" s="23">
        <v>0.024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11263.28803</v>
      </c>
      <c r="M22" s="15" t="n">
        <f t="shared" si="0"/>
        <v>11261.2610030195</v>
      </c>
      <c r="N22" s="3">
        <v>0.018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28154.56066</v>
      </c>
      <c r="M23" s="15" t="n">
        <f t="shared" si="0"/>
        <v>28153.1530023499</v>
      </c>
      <c r="N23" s="3">
        <v>0.005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28155.68678</v>
      </c>
      <c r="M24" s="62" t="n">
        <f t="shared" si="0"/>
        <v>28153.1529962303</v>
      </c>
      <c r="N24" s="61">
        <v>0.009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Phạm Văn Hà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2.3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16.9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199.5</v>
      </c>
      <c r="B60" s="70"/>
      <c r="C60" s="70"/>
      <c r="D60" s="70">
        <v>198.5</v>
      </c>
      <c r="E60" s="70"/>
      <c r="F60" s="70">
        <v>199.0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0.35</v>
      </c>
      <c r="B66" s="73"/>
      <c r="C66" s="72">
        <v>0.34</v>
      </c>
      <c r="D66" s="73"/>
      <c r="E66" s="3">
        <v>0.38</v>
      </c>
      <c r="F66" s="70">
        <v>0.357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(kG/cm2)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1.6632715215355567e-05</v>
      </c>
    </row>
    <row r="6" spans="1:14" ht="18.600000000000001" customHeight="1" x14ac:dyDescent="0.25">
      <c r="A6" s="13">
        <v>1</v>
      </c>
      <c r="B6" s="46">
        <v>60.0</v>
      </c>
      <c r="C6" s="47" t="inlineStr">
        <is>
          <t xml:space="preserve">1,4,17</t>
        </is>
      </c>
      <c r="D6" s="49">
        <v>9999.975</v>
      </c>
      <c r="E6" s="22">
        <v>0.025</v>
      </c>
      <c r="F6" s="49" t="n">
        <f>D6+E6</f>
        <v>10000</v>
      </c>
      <c r="G6" s="51">
        <v>1006.34</v>
      </c>
      <c r="H6" s="46">
        <v>59.9</v>
      </c>
      <c r="I6" s="46">
        <v>19.7</v>
      </c>
      <c r="M6" s="21" t="e">
        <f>B6*#REF!</f>
        <v>#NAME?</v>
      </c>
      <c r="N6" s="50" t="n">
        <f>$N$5*D6/'Tính toán'!$D$3</f>
        <v>2063.30251905333</v>
      </c>
    </row>
    <row r="7" spans="1:14" ht="18.600000000000001" customHeight="1" x14ac:dyDescent="0.25">
      <c r="A7" s="13">
        <v>2</v>
      </c>
      <c r="B7" s="46">
        <v>120.0</v>
      </c>
      <c r="C7" s="47" t="inlineStr">
        <is>
          <t xml:space="preserve">1,2</t>
        </is>
      </c>
      <c r="D7" s="49">
        <v>19999.998</v>
      </c>
      <c r="E7" s="22">
        <v>0.002</v>
      </c>
      <c r="F7" s="49" t="n">
        <f t="shared" ref="F7:F15" si="0">D7+E7</f>
        <v>20000</v>
      </c>
      <c r="G7" s="51">
        <v>1005.09</v>
      </c>
      <c r="H7" s="46">
        <v>62.4</v>
      </c>
      <c r="I7" s="46">
        <v>20.4</v>
      </c>
      <c r="M7" s="21" t="e">
        <f>B7*#REF!</f>
        <v>#NAME?</v>
      </c>
      <c r="N7" s="1" t="n">
        <f>$N$5*D7/'Tính toán'!$D$3</f>
        <v>4126.61494198352</v>
      </c>
    </row>
    <row r="8" spans="1:14" ht="18.600000000000001" customHeight="1" x14ac:dyDescent="0.25">
      <c r="A8" s="13">
        <v>3</v>
      </c>
      <c r="B8" s="46">
        <v>180.0</v>
      </c>
      <c r="C8" s="47" t="inlineStr">
        <is>
          <t xml:space="preserve">5,9</t>
        </is>
      </c>
      <c r="D8" s="49">
        <v>29999.995</v>
      </c>
      <c r="E8" s="22">
        <v>0.005</v>
      </c>
      <c r="F8" s="49" t="n">
        <f t="shared" si="0"/>
        <v>30000</v>
      </c>
      <c r="G8" s="51">
        <v>1014.74</v>
      </c>
      <c r="H8" s="46">
        <v>64.7</v>
      </c>
      <c r="I8" s="46">
        <v>19.1</v>
      </c>
      <c r="M8" s="21" t="e">
        <f>B8*#REF!</f>
        <v>#NAME?</v>
      </c>
      <c r="N8" s="1" t="n">
        <f>$N$5*D8/'Tính toán'!$D$3</f>
        <v>6189.92200031374</v>
      </c>
    </row>
    <row r="9" spans="1:14" ht="18.600000000000001" customHeight="1" x14ac:dyDescent="0.25">
      <c r="A9" s="13">
        <v>4</v>
      </c>
      <c r="B9" s="46">
        <v>240.0</v>
      </c>
      <c r="C9" s="47" t="inlineStr">
        <is>
          <t xml:space="preserve">6,9</t>
        </is>
      </c>
      <c r="D9" s="49">
        <v>39999.973</v>
      </c>
      <c r="E9" s="22">
        <v>0.027</v>
      </c>
      <c r="F9" s="49" t="n">
        <f t="shared" si="0"/>
        <v>40000</v>
      </c>
      <c r="G9" s="51">
        <v>1007.39</v>
      </c>
      <c r="H9" s="46">
        <v>55.2</v>
      </c>
      <c r="I9" s="46">
        <v>19.9</v>
      </c>
      <c r="M9" s="21" t="e">
        <f>B9*#REF!</f>
        <v>#NAME?</v>
      </c>
      <c r="N9" s="1" t="n">
        <f>$N$5*D9/'Tính toán'!$D$3</f>
        <v>8253.22513835937</v>
      </c>
    </row>
    <row r="10" spans="1:14" ht="18.600000000000001" customHeight="1" x14ac:dyDescent="0.25">
      <c r="A10" s="13">
        <v>5</v>
      </c>
      <c r="B10" s="46">
        <v>300.0</v>
      </c>
      <c r="C10" s="47" t="inlineStr">
        <is>
          <t xml:space="preserve">11,15,17,18</t>
        </is>
      </c>
      <c r="D10" s="49">
        <v>49999.968</v>
      </c>
      <c r="E10" s="22">
        <v>0.032</v>
      </c>
      <c r="F10" s="49" t="n">
        <f t="shared" si="0"/>
        <v>50000</v>
      </c>
      <c r="G10" s="51">
        <v>1004.78</v>
      </c>
      <c r="H10" s="46">
        <v>57.8</v>
      </c>
      <c r="I10" s="46">
        <v>20.3</v>
      </c>
      <c r="M10" s="21" t="e">
        <f>B10*#REF!</f>
        <v>#NAME?</v>
      </c>
      <c r="N10" s="1" t="n">
        <f>$N$5*D10/'Tính toán'!$D$3</f>
        <v>10316.5317840281</v>
      </c>
    </row>
    <row r="11" spans="1:14" ht="18.600000000000001" customHeight="1" x14ac:dyDescent="0.25">
      <c r="A11" s="13">
        <v>6</v>
      </c>
      <c r="B11" s="46">
        <v>360.0</v>
      </c>
      <c r="C11" s="47" t="inlineStr">
        <is>
          <t xml:space="preserve">3,5,12</t>
        </is>
      </c>
      <c r="D11" s="49">
        <v>59999.966</v>
      </c>
      <c r="E11" s="22">
        <v>0.034</v>
      </c>
      <c r="F11" s="49" t="n">
        <f t="shared" si="0"/>
        <v>60000</v>
      </c>
      <c r="G11" s="51">
        <v>1007.32</v>
      </c>
      <c r="H11" s="46">
        <v>62.4</v>
      </c>
      <c r="I11" s="46">
        <v>20.4</v>
      </c>
      <c r="M11" s="21" t="e">
        <f>B11*#REF!</f>
        <v>#NAME?</v>
      </c>
      <c r="N11" s="1" t="n">
        <f>$N$5*D11/'Tính toán'!$D$4</f>
        <v>247577.432244584</v>
      </c>
    </row>
    <row r="12" spans="1:14" ht="18.600000000000001" customHeight="1" x14ac:dyDescent="0.25">
      <c r="A12" s="13">
        <v>7</v>
      </c>
      <c r="B12" s="46">
        <v>420.0</v>
      </c>
      <c r="C12" s="47" t="inlineStr">
        <is>
          <t xml:space="preserve">1,12,16</t>
        </is>
      </c>
      <c r="D12" s="49">
        <v>69999.955</v>
      </c>
      <c r="E12" s="22">
        <v>0.045</v>
      </c>
      <c r="F12" s="49" t="n">
        <f t="shared" si="0"/>
        <v>70000</v>
      </c>
      <c r="G12" s="51">
        <v>1004.25</v>
      </c>
      <c r="H12" s="46">
        <v>60.9</v>
      </c>
      <c r="I12" s="46">
        <v>20.5</v>
      </c>
    </row>
    <row r="13" spans="1:14" s="32" customFormat="1" ht="22.5" customHeight="1" x14ac:dyDescent="0.25">
      <c r="A13" s="13">
        <v>8</v>
      </c>
      <c r="B13" s="46">
        <v>480.0</v>
      </c>
      <c r="C13" s="47" t="inlineStr">
        <is>
          <t xml:space="preserve">5,15,17</t>
        </is>
      </c>
      <c r="D13" s="49">
        <v>79999.952</v>
      </c>
      <c r="E13" s="22">
        <v>0.048</v>
      </c>
      <c r="F13" s="49" t="n">
        <f t="shared" si="0"/>
        <v>80000</v>
      </c>
      <c r="G13" s="51">
        <v>1009.34</v>
      </c>
      <c r="H13" s="46">
        <v>55.3</v>
      </c>
      <c r="I13" s="60">
        <v>20.4</v>
      </c>
      <c r="J13" s="40"/>
    </row>
    <row r="14" spans="1:14" s="34" customFormat="1" ht="22.5" customHeight="1" x14ac:dyDescent="0.25">
      <c r="A14" s="13">
        <v>9</v>
      </c>
      <c r="B14" s="46">
        <v>540.0</v>
      </c>
      <c r="C14" s="47" t="inlineStr">
        <is>
          <t xml:space="preserve">1,15,16,18</t>
        </is>
      </c>
      <c r="D14" s="49">
        <v>89999.956</v>
      </c>
      <c r="E14" s="22">
        <v>0.044</v>
      </c>
      <c r="F14" s="49" t="n">
        <f t="shared" si="0"/>
        <v>90000</v>
      </c>
      <c r="G14" s="51">
        <v>1013.28</v>
      </c>
      <c r="H14" s="46">
        <v>60.3</v>
      </c>
      <c r="I14" s="60">
        <v>20.3</v>
      </c>
      <c r="J14" s="40"/>
    </row>
    <row r="15" spans="1:14" s="35" customFormat="1" ht="22.5" customHeight="1" x14ac:dyDescent="0.25">
      <c r="A15" s="52">
        <v>10</v>
      </c>
      <c r="B15" s="53">
        <v>600.0</v>
      </c>
      <c r="C15" s="47" t="inlineStr">
        <is>
          <t xml:space="preserve">4,15</t>
        </is>
      </c>
      <c r="D15" s="49">
        <v>99999.953</v>
      </c>
      <c r="E15" s="22">
        <v>0.047</v>
      </c>
      <c r="F15" s="49" t="n">
        <f t="shared" si="0"/>
        <v>100000</v>
      </c>
      <c r="G15" s="51">
        <v>1009.3</v>
      </c>
      <c r="H15" s="46">
        <v>58.6</v>
      </c>
      <c r="I15" s="60">
        <v>20.6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0,16633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189,000 × 10-3 (kG/cm2) </t>
        </is>
      </c>
      <c r="F18" s="31" t="inlineStr">
        <is>
          <t xml:space="preserve">tại p = 420,0 kG/cm2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378,000 × 10-3 (kG/cm2)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1.6632715215355567e-05</v>
      </c>
      <c r="J3" s="45">
        <v>1.6632715215355567e-05</v>
      </c>
      <c r="K3" s="45">
        <v>1.6632715215355567e-05</v>
      </c>
      <c r="L3" s="45">
        <v>1.6632715215355567e-05</v>
      </c>
      <c r="M3" s="45">
        <v>1.6632715215355567e-05</v>
      </c>
      <c r="R3" s="3">
        <v>1</v>
      </c>
      <c r="S3" s="15">
        <v>56.31107</v>
      </c>
      <c r="T3" t="n">
        <f>(S3*0.001*9.786673*0.00001)/1.6632715215355567e-05</f>
        <v>0.3313337727693</v>
      </c>
      <c r="U3" t="n">
        <f>(S3*0.001*0.0001)/1.6632715215355567e-05</f>
        <v>0.338556088232743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56.31163</v>
      </c>
      <c r="T4" t="n">
        <f t="shared" ref="T4:T20" si="0">(S4*0.001*9.786673*0.00001)/1.6632715215355567e-05</f>
        <v>0.3313370678037</v>
      </c>
      <c r="U4" t="n">
        <f t="shared" ref="U4:U20" si="1">(S4*0.001*0.0001)/1.6632715215355567e-05</f>
        <v>0.338559455091327</v>
      </c>
    </row>
    <row r="5" spans="1:21" ht="16.5" x14ac:dyDescent="0.25">
      <c r="H5" t="s">
        <v>113</v>
      </c>
      <c r="I5" s="45" t="n">
        <f>(I4*9.786673*0.00001)/I3</f>
        <v>58.8399</v>
      </c>
      <c r="J5" t="n">
        <f t="shared" ref="J5:M5" si="2">(J4*9.786673*0.00001)/J3</f>
        <v>5.295591</v>
      </c>
      <c r="K5" t="n">
        <f t="shared" si="2"/>
        <v>7.060788</v>
      </c>
      <c r="L5" t="n">
        <f t="shared" si="2"/>
        <v>11.76798</v>
      </c>
      <c r="M5" t="n">
        <f t="shared" si="2"/>
        <v>2.353596</v>
      </c>
      <c r="N5" t="n">
        <f>SUM(I5:M5)</f>
        <v>85.317855</v>
      </c>
      <c r="R5" s="3">
        <v>3</v>
      </c>
      <c r="S5" s="15">
        <v>112.6175</v>
      </c>
      <c r="T5" t="n">
        <f t="shared" si="0"/>
        <v>0.662640243825</v>
      </c>
      <c r="U5" t="n">
        <f t="shared" si="1"/>
        <v>0.677084279637217</v>
      </c>
    </row>
    <row r="6" spans="1:21" ht="16.5" x14ac:dyDescent="0.25">
      <c r="R6" s="3">
        <v>4</v>
      </c>
      <c r="S6" s="15">
        <v>112.62764</v>
      </c>
      <c r="T6" t="n">
        <f t="shared" si="0"/>
        <v>0.6626999074836</v>
      </c>
      <c r="U6" t="n">
        <f t="shared" si="1"/>
        <v>0.677145243826579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645.068524545455</v>
      </c>
      <c r="R7" s="3">
        <v>5</v>
      </c>
      <c r="S7" s="15">
        <v>281.58549</v>
      </c>
      <c r="T7" t="n">
        <f t="shared" si="0"/>
        <v>1.6568462073051</v>
      </c>
      <c r="U7" t="n">
        <f t="shared" si="1"/>
        <v>1.69296165030251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281.57141</v>
      </c>
      <c r="T8" t="n">
        <f t="shared" si="0"/>
        <v>1.6567633607259</v>
      </c>
      <c r="U8" t="n">
        <f t="shared" si="1"/>
        <v>1.69287699785811</v>
      </c>
    </row>
    <row r="9" spans="1:21" ht="16.5" x14ac:dyDescent="0.25">
      <c r="H9" t="s">
        <v>147</v>
      </c>
      <c r="I9" t="n">
        <f>(0.99985*I7*B7)/I8</f>
        <v>0.0128994352853355</v>
      </c>
      <c r="R9" s="3">
        <v>7</v>
      </c>
      <c r="S9" s="15">
        <v>563.07989</v>
      </c>
      <c r="T9" t="n">
        <f t="shared" si="0"/>
        <v>3.3131564419611</v>
      </c>
      <c r="U9" t="n">
        <f t="shared" si="1"/>
        <v>3.38537564498283</v>
      </c>
    </row>
    <row r="10" spans="1:21" ht="16.5" x14ac:dyDescent="0.25">
      <c r="R10" s="3">
        <v>8</v>
      </c>
      <c r="S10" s="15">
        <v>563.18124</v>
      </c>
      <c r="T10" t="n">
        <f t="shared" si="0"/>
        <v>3.3137527843476</v>
      </c>
      <c r="U10" t="n">
        <f t="shared" si="1"/>
        <v>3.38598498626408</v>
      </c>
    </row>
    <row r="11" spans="1:21" ht="16.5" x14ac:dyDescent="0.25">
      <c r="R11" s="3">
        <v>9</v>
      </c>
      <c r="S11" s="15">
        <v>1126.28366</v>
      </c>
      <c r="T11" t="n">
        <f t="shared" si="0"/>
        <v>6.6270417926034</v>
      </c>
      <c r="U11" t="n">
        <f t="shared" si="1"/>
        <v>6.77149608718244</v>
      </c>
    </row>
    <row r="12" spans="1:21" ht="16.5" x14ac:dyDescent="0.25">
      <c r="R12" s="3">
        <v>10</v>
      </c>
      <c r="S12" s="15">
        <v>1126.30618</v>
      </c>
      <c r="T12" t="n">
        <f t="shared" si="0"/>
        <v>6.6271743000582</v>
      </c>
      <c r="U12" t="n">
        <f t="shared" si="1"/>
        <v>6.7716314829955</v>
      </c>
    </row>
    <row r="13" spans="1:21" ht="16.5" x14ac:dyDescent="0.25">
      <c r="R13" s="3">
        <v>11</v>
      </c>
      <c r="S13" s="15">
        <v>2815.87806</v>
      </c>
      <c r="T13" t="n">
        <f t="shared" si="0"/>
        <v>16.5685983462594</v>
      </c>
      <c r="U13" t="n">
        <f t="shared" si="1"/>
        <v>16.9297557466765</v>
      </c>
    </row>
    <row r="14" spans="1:21" ht="16.5" x14ac:dyDescent="0.25">
      <c r="R14" s="3">
        <v>12</v>
      </c>
      <c r="S14" s="15">
        <v>2815.87806</v>
      </c>
      <c r="T14" t="n">
        <f t="shared" si="0"/>
        <v>16.5685983462594</v>
      </c>
      <c r="U14" t="n">
        <f t="shared" si="1"/>
        <v>16.9297557466765</v>
      </c>
    </row>
    <row r="15" spans="1:21" ht="16.5" x14ac:dyDescent="0.25">
      <c r="R15" s="3">
        <v>13</v>
      </c>
      <c r="S15" s="15">
        <v>5631.58821</v>
      </c>
      <c r="T15" t="n">
        <f t="shared" si="0"/>
        <v>33.1362087117579</v>
      </c>
      <c r="U15" t="n">
        <f t="shared" si="1"/>
        <v>33.8585019768801</v>
      </c>
    </row>
    <row r="16" spans="1:21" ht="16.5" x14ac:dyDescent="0.25">
      <c r="R16" s="3">
        <v>14</v>
      </c>
      <c r="S16" s="15">
        <v>5631.08145</v>
      </c>
      <c r="T16" t="n">
        <f t="shared" si="0"/>
        <v>33.1332269409855</v>
      </c>
      <c r="U16" t="n">
        <f t="shared" si="1"/>
        <v>33.8554552103514</v>
      </c>
    </row>
    <row r="17" spans="15:21" ht="16.5" x14ac:dyDescent="0.25">
      <c r="R17" s="3">
        <v>15</v>
      </c>
      <c r="S17" s="15">
        <v>11263.9637</v>
      </c>
      <c r="T17" t="n">
        <f t="shared" si="0"/>
        <v>66.277049771163</v>
      </c>
      <c r="U17" t="n">
        <f t="shared" si="1"/>
        <v>67.7217372759497</v>
      </c>
    </row>
    <row r="18" spans="15:21" ht="16.5" x14ac:dyDescent="0.25">
      <c r="R18" s="3">
        <v>16</v>
      </c>
      <c r="S18" s="15">
        <v>11263.28803</v>
      </c>
      <c r="T18" t="n">
        <f t="shared" si="0"/>
        <v>66.2730741356397</v>
      </c>
      <c r="U18" t="n">
        <f t="shared" si="1"/>
        <v>67.7176749807005</v>
      </c>
    </row>
    <row r="19" spans="15:21" ht="16.5" x14ac:dyDescent="0.25">
      <c r="R19" s="3">
        <v>17</v>
      </c>
      <c r="S19" s="15">
        <v>28154.56066</v>
      </c>
      <c r="T19" t="n">
        <f t="shared" si="0"/>
        <v>165.661153377833</v>
      </c>
      <c r="U19" t="n">
        <f t="shared" si="1"/>
        <v>169.27218614317</v>
      </c>
    </row>
    <row r="20" spans="15:21" ht="16.5" x14ac:dyDescent="0.25">
      <c r="R20" s="3" t="s">
        <v>108</v>
      </c>
      <c r="S20" s="15">
        <v>28155.68678</v>
      </c>
      <c r="T20" t="n">
        <f t="shared" si="0"/>
        <v>165.667779456652</v>
      </c>
      <c r="U20" t="n">
        <f t="shared" si="1"/>
        <v>169.278956655293</v>
      </c>
    </row>
    <row r="21" spans="15:21" x14ac:dyDescent="0.25">
      <c r="O21" s="48" t="n">
        <f>S3+S4+S5+S6+S7+S8</f>
        <v>901.02474</v>
      </c>
      <c r="S21" s="48" t="n">
        <f>AVERAGE(S3:S13)</f>
        <v>645.068524545455</v>
      </c>
      <c r="T21" t="n">
        <f>SUM(T3:T20)</f>
        <v>588.468434965433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