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filterPrivacy="1" defaultThemeVersion="124226"/>
  <xr:revisionPtr revIDLastSave="28" documentId="13_ncr:1_{6AABA260-5E05-444A-A5E8-A8110038713E}" xr6:coauthVersionLast="47" xr6:coauthVersionMax="47" xr10:uidLastSave="{719F8829-0D00-440D-AD5C-F4D8CBC8394C}"/>
  <bookViews>
    <workbookView xWindow="-120" yWindow="-120" windowWidth="24240" windowHeight="13140" tabRatio="608" activeTab="3" xr2:uid="{00000000-000D-0000-FFFF-FFFF00000000}"/>
  </bookViews>
  <sheets>
    <sheet name="Chọn quả" sheetId="21" r:id="rId1"/>
    <sheet name="KQ KĐ" sheetId="19" r:id="rId2"/>
    <sheet name="KQ KĐ (2)" sheetId="22" r:id="rId3"/>
    <sheet name="Tính toán" sheetId="20" r:id="rId4"/>
  </sheets>
  <calcPr fullCalcOnLoad="1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<sst xmlns="http://schemas.openxmlformats.org/spreadsheetml/2006/main" count="168" uniqueCount="150">
  <si>
    <t>Phạm Văn Hà</t>
  </si>
  <si>
    <t>KIỂM ĐỊNH VIÊN</t>
  </si>
  <si>
    <t>Giá trị cho phép</t>
  </si>
  <si>
    <t>TT</t>
  </si>
  <si>
    <t>KẾT QUẢ KIỂM ĐỊNH</t>
  </si>
  <si>
    <t>Độ ẩm môi trường</t>
  </si>
  <si>
    <t>Nhiệt độ môi trường:</t>
  </si>
  <si>
    <t>Điều kiện kiểm định:</t>
  </si>
  <si>
    <t>Số hiệu:</t>
  </si>
  <si>
    <t>Số:……….</t>
  </si>
  <si>
    <t>BIÊN BẢN KIỂM ĐỊNH</t>
  </si>
  <si>
    <t xml:space="preserve">Hà Nội, ngày      tháng       năm </t>
  </si>
  <si>
    <t>Độc lập - Tự do - Hạnh phúc</t>
  </si>
  <si>
    <t>CỘNG HÒA XÃ HỘI CHỦ NGHĨA VIỆT NAM</t>
  </si>
  <si>
    <t>Giá trị xác định</t>
  </si>
  <si>
    <t> Đạt</t>
  </si>
  <si>
    <t> Không đạt</t>
  </si>
  <si>
    <t>Thông số kiểm tra</t>
  </si>
  <si>
    <t>Tên, 
mã số</t>
  </si>
  <si>
    <t>Sai số tương đối khối lượng quả cân (%)</t>
  </si>
  <si>
    <t>(20 ± 2) ºC</t>
  </si>
  <si>
    <t>Gốc</t>
  </si>
  <si>
    <t>4A</t>
  </si>
  <si>
    <t>4B</t>
  </si>
  <si>
    <t>Khối lượng 
thực tế (g)</t>
  </si>
  <si>
    <t>Quả số</t>
  </si>
  <si>
    <t>Khối lượng</t>
  </si>
  <si>
    <t>Áp suất</t>
  </si>
  <si>
    <t>Chọn quả</t>
  </si>
  <si>
    <t>Tổng</t>
  </si>
  <si>
    <t>Phần tính toán (tạm thời bỏ qua ảnh hưởng các yếu tố phụ do điều kiện thiết bị phòng thí nghiệm không cho phép)</t>
  </si>
  <si>
    <t>Tiết diện píttông chuẩn A1</t>
  </si>
  <si>
    <t>Tiết diện píttông chuẩn A2</t>
  </si>
  <si>
    <t>Khối lượng 
danh nghĩa (g)</t>
  </si>
  <si>
    <t>&lt; 5'</t>
  </si>
  <si>
    <t>2'</t>
  </si>
  <si>
    <t>Khối lượng (g)</t>
  </si>
  <si>
    <t>Áp suất (bar)</t>
  </si>
  <si>
    <t>10N</t>
  </si>
  <si>
    <t>40B</t>
  </si>
  <si>
    <t>40A</t>
  </si>
  <si>
    <t>100A</t>
  </si>
  <si>
    <t>100B</t>
  </si>
  <si>
    <t>100C</t>
  </si>
  <si>
    <t>100D</t>
  </si>
  <si>
    <t>100E</t>
  </si>
  <si>
    <t>100F</t>
  </si>
  <si>
    <t>(65 ± 5) %RH</t>
  </si>
  <si>
    <t>1. Kiểm tra bên ngoài:</t>
  </si>
  <si>
    <t>TRUNG TÂM ĐO LƯỜNG</t>
  </si>
  <si>
    <r>
      <t>PHÒ</t>
    </r>
    <r>
      <rPr>
        <b/>
        <u/>
        <sz val="14"/>
        <rFont val="Times New Roman"/>
        <family val="1"/>
      </rPr>
      <t>NG ĐL NHIỆT-ÁP S</t>
    </r>
    <r>
      <rPr>
        <b/>
        <sz val="14"/>
        <rFont val="Times New Roman"/>
        <family val="1"/>
      </rPr>
      <t>UẤT</t>
    </r>
  </si>
  <si>
    <t>Tên trang bị ĐL-TN:</t>
  </si>
  <si>
    <t xml:space="preserve">Ký hiệu: </t>
  </si>
  <si>
    <t xml:space="preserve">Nước (hãng) sản xuất: </t>
  </si>
  <si>
    <t xml:space="preserve">Đặc trưng kỹ thuật đo lường: </t>
  </si>
  <si>
    <t>Phương pháp kiểm định:</t>
  </si>
  <si>
    <t>Phương tiện kiểm định:</t>
  </si>
  <si>
    <t>Ngày kiểm định:</t>
  </si>
  <si>
    <t>3. Kiểm tra đo lường: (Xem các trang sau)</t>
  </si>
  <si>
    <t>Bảng 2 - Khối lượng các quả cân</t>
  </si>
  <si>
    <t>Bảng 3 - Kết quả cân bằng áp suất</t>
  </si>
  <si>
    <t>3. Kiểm tra đo lường:</t>
  </si>
  <si>
    <t xml:space="preserve">Áp kế pít tông </t>
  </si>
  <si>
    <t>МП-6M</t>
  </si>
  <si>
    <t>Nga</t>
  </si>
  <si>
    <t>Phạm vi đo: (0,4 đến 6) bar;</t>
  </si>
  <si>
    <t>Cấp chính xác: 0,02</t>
  </si>
  <si>
    <t>Đơn vị sử dụng: Phòng Đo lường Nhiệt-Áp suất, Trung tâm Đo lường</t>
  </si>
  <si>
    <t>QTKĐ 1.159 : 2021</t>
  </si>
  <si>
    <t>Áp kế píttông PG7302</t>
  </si>
  <si>
    <t>Bảng 2.1 - Phương của lực tác dụng và độ kín</t>
  </si>
  <si>
    <t>2. Kiểm tra kỹ thuật: (Xem các trang sau)</t>
  </si>
  <si>
    <t>Luyện Thanh Tùng</t>
  </si>
  <si>
    <t>NGƯỜI KIỂM SOÁT</t>
  </si>
  <si>
    <r>
      <t>KẾT QUẢ KIỂM ĐỊNH</t>
    </r>
    <r>
      <rPr>
        <i/>
        <sz val="14"/>
        <rFont val="Times New Roman"/>
        <family val="1"/>
      </rPr>
      <t xml:space="preserve"> (tiếp theo)</t>
    </r>
  </si>
  <si>
    <r>
      <t xml:space="preserve">KẾT QUẢ KIỂM ĐỊNH </t>
    </r>
    <r>
      <rPr>
        <i/>
        <sz val="14"/>
        <rFont val="Times New Roman"/>
        <family val="1"/>
      </rPr>
      <t>(tiếp theo)</t>
    </r>
  </si>
  <si>
    <t xml:space="preserve">2. Kiểm tra kỹ thuật: </t>
  </si>
  <si>
    <t>Độ không vuông góc của đĩa cân với trục pít tông</t>
  </si>
  <si>
    <t>Ngược chiều kim đồng hồ</t>
  </si>
  <si>
    <t>Bảng 2.2 - Thời gian quay tự do (thực hiện tại nhiệt độ tiêu chuẩn 20 °C)</t>
  </si>
  <si>
    <t>Cùng chiều kim 
đồng hồ</t>
  </si>
  <si>
    <r>
      <t xml:space="preserve">Kết quả, </t>
    </r>
    <r>
      <rPr>
        <sz val="13"/>
        <rFont val="Times New Roman"/>
        <family val="1"/>
      </rPr>
      <t>s</t>
    </r>
  </si>
  <si>
    <r>
      <t xml:space="preserve">Giá trị trung bình, </t>
    </r>
    <r>
      <rPr>
        <sz val="13"/>
        <rFont val="Times New Roman"/>
        <family val="1"/>
      </rPr>
      <t>s</t>
    </r>
  </si>
  <si>
    <r>
      <t xml:space="preserve">Giá trị cho 
phép, </t>
    </r>
    <r>
      <rPr>
        <sz val="13"/>
        <rFont val="Times New Roman"/>
        <family val="1"/>
      </rPr>
      <t>s</t>
    </r>
  </si>
  <si>
    <t>≥ 180</t>
  </si>
  <si>
    <t>Bảng 2.3 - Tốc độ hạ của pít tông (thực hiện tại nhiệt độ tiêu chuẩn 20 °C)</t>
  </si>
  <si>
    <t>Lượt 1</t>
  </si>
  <si>
    <t>Lượt 2</t>
  </si>
  <si>
    <t>Lượt 3</t>
  </si>
  <si>
    <r>
      <t xml:space="preserve">Giá trị trung bình, </t>
    </r>
    <r>
      <rPr>
        <sz val="13"/>
        <rFont val="Times New Roman"/>
        <family val="1"/>
      </rPr>
      <t>mm/min</t>
    </r>
  </si>
  <si>
    <r>
      <t xml:space="preserve">Giá trị cho 
phép, </t>
    </r>
    <r>
      <rPr>
        <sz val="13"/>
        <rFont val="Times New Roman"/>
        <family val="1"/>
      </rPr>
      <t>mm/min</t>
    </r>
  </si>
  <si>
    <r>
      <t xml:space="preserve">Kết quả, </t>
    </r>
    <r>
      <rPr>
        <sz val="13"/>
        <rFont val="Times New Roman"/>
        <family val="1"/>
      </rPr>
      <t>mm/min</t>
    </r>
  </si>
  <si>
    <t>≤ 0,4</t>
  </si>
  <si>
    <r>
      <t>Tỷ số tốc độ hạ (V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>/V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>), %</t>
    </r>
  </si>
  <si>
    <t>≤ 110</t>
  </si>
  <si>
    <t>Độ giảm áp suất sau 5 min tại 600 kPa, kPa</t>
  </si>
  <si>
    <t>≤ 30</t>
  </si>
  <si>
    <r>
      <t>V</t>
    </r>
    <r>
      <rPr>
        <vertAlign val="subscript"/>
        <sz val="13"/>
        <rFont val="Times New Roman"/>
        <family val="1"/>
      </rPr>
      <t>t1</t>
    </r>
    <r>
      <rPr>
        <sz val="13"/>
        <rFont val="Times New Roman"/>
        <family val="1"/>
      </rPr>
      <t xml:space="preserve"> = 0,3</t>
    </r>
  </si>
  <si>
    <t>Tốc độ hạ của pít tông khi mở van cách ly, mm/min</t>
  </si>
  <si>
    <r>
      <t>V</t>
    </r>
    <r>
      <rPr>
        <vertAlign val="subscript"/>
        <sz val="13"/>
        <rFont val="Times New Roman"/>
        <family val="1"/>
      </rPr>
      <t>t2</t>
    </r>
    <r>
      <rPr>
        <sz val="13"/>
        <rFont val="Times New Roman"/>
        <family val="1"/>
      </rPr>
      <t xml:space="preserve"> =0,3 </t>
    </r>
  </si>
  <si>
    <t>Tốc độ hạ của pít tông khi đóng van cách ly, mm/min</t>
  </si>
  <si>
    <t>Kiểm tra phương của lực tác dụng và độ vuông góc của đĩa cân gốc với trục của 
píttông</t>
  </si>
  <si>
    <t>Kiểm tra độ kín của hệ thống tạo môi trường áp suất</t>
  </si>
  <si>
    <t xml:space="preserve">Kết quả kiểm tra độ nhạy: </t>
  </si>
  <si>
    <t>Áp kế pít tông cần kiểm định</t>
  </si>
  <si>
    <t>Số gam thêm vào</t>
  </si>
  <si>
    <t>Độ ẩm môi trường, %RH</t>
  </si>
  <si>
    <t>Nhiệt độ môi trường, °C</t>
  </si>
  <si>
    <t>G</t>
  </si>
  <si>
    <t>Khối lượng quả cân, g</t>
  </si>
  <si>
    <t>Tổng khối lượng, g</t>
  </si>
  <si>
    <t>A</t>
  </si>
  <si>
    <t>m</t>
  </si>
  <si>
    <t>P, bar</t>
  </si>
  <si>
    <t>bar</t>
  </si>
  <si>
    <t>kG/cm2</t>
  </si>
  <si>
    <r>
      <t>Áp suất danh nghĩa,
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>)</t>
    </r>
  </si>
  <si>
    <t>Số hiệu quả cân</t>
  </si>
  <si>
    <t>1,2,12</t>
  </si>
  <si>
    <t>1,2,3</t>
  </si>
  <si>
    <t>1,2,3,12</t>
  </si>
  <si>
    <t>1,2,3,12,13</t>
  </si>
  <si>
    <t>1,2,3,4,11</t>
  </si>
  <si>
    <t>1,2,3,4,5,12</t>
  </si>
  <si>
    <t>1,2,3,4,5,6</t>
  </si>
  <si>
    <r>
      <t xml:space="preserve">KẾT QUẢ KIỂM ĐỊNH </t>
    </r>
    <r>
      <rPr>
        <i/>
        <sz val="13"/>
        <rFont val="Times New Roman"/>
        <family val="1"/>
      </rPr>
      <t>(Kết thúc)</t>
    </r>
  </si>
  <si>
    <t>Áp suất khí quyển, hPa</t>
  </si>
  <si>
    <t xml:space="preserve">Diện tích hiệu dụng của pít tông: </t>
  </si>
  <si>
    <r>
      <t>A</t>
    </r>
    <r>
      <rPr>
        <vertAlign val="subscript"/>
        <sz val="13"/>
        <rFont val="Times New Roman"/>
        <family val="1"/>
      </rPr>
      <t>0</t>
    </r>
    <r>
      <rPr>
        <sz val="13"/>
        <rFont val="Times New Roman"/>
        <family val="1"/>
      </rPr>
      <t xml:space="preserve"> = 0,99924 ×</t>
    </r>
    <r>
      <rPr>
        <sz val="11.05"/>
        <rFont val="Times New Roman"/>
        <family val="1"/>
      </rPr>
      <t xml:space="preserve"> 10</t>
    </r>
    <r>
      <rPr>
        <vertAlign val="superscript"/>
        <sz val="11.05"/>
        <rFont val="Times New Roman"/>
        <family val="1"/>
      </rPr>
      <t>-4</t>
    </r>
    <r>
      <rPr>
        <sz val="11.05"/>
        <rFont val="Times New Roman"/>
        <family val="1"/>
      </rPr>
      <t xml:space="preserve"> , m</t>
    </r>
    <r>
      <rPr>
        <vertAlign val="superscript"/>
        <sz val="11.05"/>
        <rFont val="Times New Roman"/>
        <family val="1"/>
      </rPr>
      <t>2</t>
    </r>
  </si>
  <si>
    <t>3.2 Xác định diện tích hiệu dụng</t>
  </si>
  <si>
    <t>3.3 Xác định độ chính xác</t>
  </si>
  <si>
    <t xml:space="preserve">Độ không đảm bảo đo: </t>
  </si>
  <si>
    <t>U(p) =</t>
  </si>
  <si>
    <t>(với k = 2)</t>
  </si>
  <si>
    <t xml:space="preserve">Độ chính xác: </t>
  </si>
  <si>
    <t xml:space="preserve"> d =</t>
  </si>
  <si>
    <t>Δ(p) =</t>
  </si>
  <si>
    <t>4. Kết luận: Đạt yêu cầu kỹ thuật đo lường</t>
  </si>
  <si>
    <r>
      <t>u</t>
    </r>
    <r>
      <rPr>
        <vertAlign val="subscript"/>
        <sz val="13"/>
        <rFont val="Times New Roman"/>
        <family val="1"/>
      </rPr>
      <t>Cmax</t>
    </r>
    <r>
      <rPr>
        <sz val="13"/>
        <rFont val="Times New Roman"/>
        <family val="1"/>
      </rPr>
      <t xml:space="preserve">  = </t>
    </r>
  </si>
  <si>
    <r>
      <t>0,756 × 10</t>
    </r>
    <r>
      <rPr>
        <vertAlign val="superscript"/>
        <sz val="13"/>
        <rFont val="Times New Roman"/>
        <family val="1"/>
      </rPr>
      <t xml:space="preserve">-3 </t>
    </r>
    <r>
      <rPr>
        <sz val="13"/>
        <rFont val="Times New Roman"/>
        <family val="1"/>
      </rPr>
      <t>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</si>
  <si>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r>
      <t>tại p = 4,2 kG/cm</t>
    </r>
    <r>
      <rPr>
        <vertAlign val="superscript"/>
        <sz val="13"/>
        <rFont val="Times New Roman"/>
        <family val="1"/>
      </rPr>
      <t>2</t>
    </r>
  </si>
  <si>
    <r>
      <t>1,512 × 10</t>
    </r>
    <r>
      <rPr>
        <vertAlign val="superscript"/>
        <sz val="13"/>
        <rFont val="Times New Roman"/>
        <family val="1"/>
      </rPr>
      <t>-3</t>
    </r>
    <r>
      <rPr>
        <sz val="13"/>
        <rFont val="Times New Roman"/>
        <family val="1"/>
      </rPr>
      <t xml:space="preserve"> (kg/cm</t>
    </r>
    <r>
      <rPr>
        <vertAlign val="superscript"/>
        <sz val="13"/>
        <rFont val="Times New Roman"/>
        <family val="1"/>
      </rPr>
      <t>2</t>
    </r>
    <r>
      <rPr>
        <sz val="13"/>
        <rFont val="Times New Roman"/>
        <family val="1"/>
      </rPr>
      <t xml:space="preserve">) </t>
    </r>
  </si>
  <si>
    <t>Trang 1/4</t>
  </si>
  <si>
    <t>Trang 2/4</t>
  </si>
  <si>
    <t>Trang 3/4</t>
  </si>
  <si>
    <t>Trang 4/4</t>
  </si>
  <si>
    <t>m, kg</t>
  </si>
  <si>
    <t>A, m2</t>
  </si>
  <si>
    <t>g</t>
  </si>
  <si>
    <t>P,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</si>
</sst>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0E+00"/>
    <numFmt numFmtId="166" formatCode="0.000"/>
    <numFmt numFmtId="167" formatCode="0.0"/>
    <numFmt numFmtId="168" formatCode="#,##0.00000"/>
    <numFmt numFmtId="169" formatCode="#,##0.000"/>
    <numFmt numFmtId="170" formatCode="0.000%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  <charset val="163"/>
    </font>
    <font>
      <b/>
      <sz val="13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3"/>
      <name val="Arial"/>
      <family val="2"/>
      <charset val="163"/>
    </font>
    <font>
      <i/>
      <sz val="13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sz val="14"/>
      <name val="Arial"/>
      <family val="2"/>
      <charset val="163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  <scheme val="minor"/>
    </font>
    <font>
      <vertAlign val="superscript"/>
      <sz val="13"/>
      <name val="Times New Roman"/>
      <family val="1"/>
    </font>
    <font>
      <vertAlign val="subscript"/>
      <sz val="13"/>
      <name val="Times New Roman"/>
      <family val="1"/>
    </font>
    <font>
      <b/>
      <sz val="12"/>
      <name val="Times New Roman"/>
      <family val="1"/>
    </font>
    <font>
      <sz val="11.05"/>
      <name val="Times New Roman"/>
      <family val="1"/>
    </font>
    <font>
      <vertAlign val="superscript"/>
      <sz val="11.05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7">
    <xf numFmtId="0" fontId="0" fillId="0" borderId="0" xfId="0"/>
    <xf numFmtId="0" fontId="1" fillId="0" borderId="0" xfId="1"/>
    <xf numFmtId="0" fontId="3" fillId="0" borderId="0" xfId="1" applyFont="1"/>
    <xf numFmtId="0" fontId="6" fillId="0" borderId="4" xfId="1" applyFont="1" applyBorder="1" applyAlignment="1">
      <alignment horizontal="center" vertical="center"/>
    </xf>
    <xf numFmtId="0" fontId="5" fillId="0" borderId="0" xfId="1" applyFont="1"/>
    <xf numFmtId="9" fontId="5" fillId="0" borderId="0" xfId="1" applyNumberFormat="1" applyFont="1" applyAlignment="1">
      <alignment horizontal="left"/>
    </xf>
    <xf numFmtId="0" fontId="3" fillId="0" borderId="0" xfId="1" applyFont="1" applyAlignment="1">
      <alignment horizontal="center"/>
    </xf>
    <xf numFmtId="0" fontId="6" fillId="0" borderId="0" xfId="1" applyFont="1"/>
    <xf numFmtId="0" fontId="2" fillId="0" borderId="0" xfId="1" applyFont="1"/>
    <xf numFmtId="0" fontId="9" fillId="0" borderId="0" xfId="1" applyFont="1"/>
    <xf numFmtId="0" fontId="5" fillId="0" borderId="0" xfId="1" applyFont="1" applyAlignment="1">
      <alignment horizontal="left"/>
    </xf>
    <xf numFmtId="0" fontId="12" fillId="0" borderId="0" xfId="1" applyFont="1"/>
    <xf numFmtId="0" fontId="4" fillId="0" borderId="0" xfId="1" applyFont="1"/>
    <xf numFmtId="0" fontId="6" fillId="0" borderId="4" xfId="1" applyFont="1" applyBorder="1" applyAlignment="1">
      <alignment horizontal="center"/>
    </xf>
    <xf numFmtId="10" fontId="5" fillId="0" borderId="0" xfId="1" applyNumberFormat="1" applyFont="1"/>
    <xf numFmtId="164" fontId="6" fillId="0" borderId="4" xfId="1" applyNumberFormat="1" applyFont="1" applyBorder="1" applyAlignment="1">
      <alignment horizontal="center" vertical="center"/>
    </xf>
    <xf numFmtId="2" fontId="6" fillId="0" borderId="4" xfId="1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6" fillId="0" borderId="0" xfId="0" applyFont="1"/>
    <xf numFmtId="165" fontId="1" fillId="0" borderId="0" xfId="1" applyNumberFormat="1"/>
    <xf numFmtId="166" fontId="6" fillId="0" borderId="4" xfId="1" applyNumberFormat="1" applyFont="1" applyBorder="1" applyAlignment="1">
      <alignment horizontal="center"/>
    </xf>
    <xf numFmtId="166" fontId="6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6" fillId="0" borderId="4" xfId="1" applyFont="1" applyBorder="1" applyAlignment="1">
      <alignment horizontal="center" vertical="center" wrapText="1"/>
    </xf>
    <xf numFmtId="0" fontId="2" fillId="0" borderId="0" xfId="1" applyFont="1" applyAlignment="1">
      <alignment horizontal="left"/>
    </xf>
    <xf numFmtId="0" fontId="6" fillId="0" borderId="4" xfId="1" applyFont="1" applyBorder="1" applyAlignment="1">
      <alignment vertical="center"/>
    </xf>
    <xf numFmtId="0" fontId="6" fillId="0" borderId="0" xfId="1" applyFont="1" applyAlignment="1">
      <alignment horizontal="center"/>
    </xf>
    <xf numFmtId="0" fontId="6" fillId="0" borderId="5" xfId="1" applyFont="1" applyBorder="1" applyAlignment="1">
      <alignment horizontal="center"/>
    </xf>
    <xf numFmtId="0" fontId="6" fillId="0" borderId="0" xfId="1" applyFont="1" applyAlignment="1">
      <alignment horizontal="left"/>
    </xf>
    <xf numFmtId="0" fontId="6" fillId="0" borderId="0" xfId="1" applyFont="1" applyAlignment="1">
      <alignment horizontal="center" vertical="center"/>
    </xf>
    <xf numFmtId="0" fontId="5" fillId="0" borderId="0" xfId="1" applyFont="1" applyAlignment="1">
      <alignment vertical="center"/>
    </xf>
    <xf numFmtId="0" fontId="2" fillId="0" borderId="0" xfId="1" applyFont="1" applyAlignment="1">
      <alignment horizontal="left" vertical="center"/>
    </xf>
    <xf numFmtId="0" fontId="12" fillId="0" borderId="0" xfId="1" applyFont="1" applyAlignment="1">
      <alignment vertical="center"/>
    </xf>
    <xf numFmtId="0" fontId="1" fillId="0" borderId="0" xfId="1" applyAlignment="1">
      <alignment vertical="center"/>
    </xf>
    <xf numFmtId="0" fontId="8" fillId="0" borderId="4" xfId="1" applyFont="1" applyBorder="1" applyAlignment="1">
      <alignment vertical="center"/>
    </xf>
    <xf numFmtId="0" fontId="6" fillId="0" borderId="3" xfId="1" applyFont="1" applyBorder="1" applyAlignment="1">
      <alignment horizontal="left" vertical="center"/>
    </xf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0" xfId="1" applyFont="1" applyAlignment="1">
      <alignment vertical="center"/>
    </xf>
    <xf numFmtId="0" fontId="6" fillId="0" borderId="5" xfId="1" applyFont="1" applyBorder="1" applyAlignment="1">
      <alignment horizontal="left" vertical="center"/>
    </xf>
    <xf numFmtId="9" fontId="6" fillId="0" borderId="5" xfId="1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1" fontId="0" fillId="0" borderId="0" xfId="0" applyNumberFormat="1"/>
    <xf numFmtId="167" fontId="6" fillId="0" borderId="4" xfId="1" applyNumberFormat="1" applyFont="1" applyBorder="1" applyAlignment="1">
      <alignment horizontal="center"/>
    </xf>
    <xf numFmtId="0" fontId="6" fillId="0" borderId="4" xfId="1" applyFont="1" applyBorder="1" applyAlignment="1">
      <alignment horizontal="left"/>
    </xf>
    <xf numFmtId="164" fontId="0" fillId="0" borderId="0" xfId="0" applyNumberFormat="1"/>
    <xf numFmtId="168" fontId="6" fillId="0" borderId="4" xfId="1" applyNumberFormat="1" applyFont="1" applyBorder="1" applyAlignment="1">
      <alignment horizontal="center"/>
    </xf>
    <xf numFmtId="11" fontId="1" fillId="0" borderId="0" xfId="1" applyNumberFormat="1"/>
    <xf numFmtId="169" fontId="6" fillId="0" borderId="4" xfId="1" applyNumberFormat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167" fontId="6" fillId="0" borderId="8" xfId="1" applyNumberFormat="1" applyFont="1" applyBorder="1" applyAlignment="1">
      <alignment horizontal="center"/>
    </xf>
    <xf numFmtId="0" fontId="6" fillId="0" borderId="5" xfId="1" applyFont="1" applyBorder="1" applyAlignment="1">
      <alignment horizontal="left"/>
    </xf>
    <xf numFmtId="0" fontId="6" fillId="0" borderId="0" xfId="1" applyFont="1" applyAlignment="1">
      <alignment horizontal="left" vertical="center"/>
    </xf>
    <xf numFmtId="0" fontId="6" fillId="0" borderId="0" xfId="1" applyFont="1" applyAlignment="1">
      <alignment horizontal="right"/>
    </xf>
    <xf numFmtId="0" fontId="6" fillId="0" borderId="0" xfId="1" applyFont="1" applyAlignment="1">
      <alignment horizontal="right" vertical="center"/>
    </xf>
    <xf numFmtId="170" fontId="6" fillId="0" borderId="0" xfId="1" applyNumberFormat="1" applyFont="1" applyAlignment="1">
      <alignment horizontal="center" vertical="center"/>
    </xf>
    <xf numFmtId="0" fontId="4" fillId="0" borderId="0" xfId="1" applyFont="1" applyAlignment="1">
      <alignment vertical="center"/>
    </xf>
    <xf numFmtId="167" fontId="6" fillId="0" borderId="4" xfId="1" applyNumberFormat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6" fillId="0" borderId="5" xfId="1" applyNumberFormat="1" applyFont="1" applyBorder="1" applyAlignment="1">
      <alignment horizontal="center" vertical="center"/>
    </xf>
    <xf numFmtId="0" fontId="10" fillId="0" borderId="0" xfId="1" applyFont="1" applyAlignment="1">
      <alignment horizontal="right"/>
    </xf>
    <xf numFmtId="0" fontId="9" fillId="0" borderId="0" xfId="1" applyFont="1" applyAlignment="1">
      <alignment horizontal="right" vertical="center"/>
    </xf>
    <xf numFmtId="0" fontId="9" fillId="0" borderId="0" xfId="1" applyFont="1" applyAlignment="1">
      <alignment vertical="center"/>
    </xf>
    <xf numFmtId="0" fontId="6" fillId="0" borderId="4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19" fillId="0" borderId="3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0" borderId="1" xfId="1" applyFont="1" applyBorder="1" applyAlignment="1">
      <alignment horizontal="left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6" fillId="0" borderId="3" xfId="1" applyFont="1" applyBorder="1" applyAlignment="1">
      <alignment horizontal="left" vertical="center" wrapText="1"/>
    </xf>
    <xf numFmtId="0" fontId="6" fillId="0" borderId="2" xfId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6" fillId="0" borderId="4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1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2" fillId="0" borderId="7" xfId="1" applyFont="1" applyBorder="1" applyAlignment="1">
      <alignment horizontal="center"/>
    </xf>
    <xf numFmtId="0" fontId="7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center" shrinkToFit="1"/>
    </xf>
    <xf numFmtId="0" fontId="10" fillId="0" borderId="0" xfId="1" applyFont="1" applyAlignment="1">
      <alignment horizontal="center"/>
    </xf>
    <xf numFmtId="14" fontId="5" fillId="0" borderId="0" xfId="1" applyNumberFormat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35360</xdr:colOff>
      <xdr:row>5</xdr:row>
      <xdr:rowOff>134469</xdr:rowOff>
    </xdr:from>
    <xdr:ext cx="744570" cy="26770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/>
                      </a:rPr>
                      <m:t>𝑃𝑖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𝑥</m:t>
                    </m:r>
                    <m:r>
                      <a:rPr lang="en-US" sz="1100" b="0" i="1">
                        <a:latin typeface="Cambria Math"/>
                      </a:rPr>
                      <m:t> </m:t>
                    </m:r>
                    <m:r>
                      <a:rPr lang="en-US" sz="1100" b="0" i="1">
                        <a:latin typeface="Cambria Math"/>
                      </a:rPr>
                      <m:t>𝐴𝑖</m:t>
                    </m:r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4FEE90C-1176-40FE-863B-27D8EB3F0402}"/>
                </a:ext>
              </a:extLst>
            </xdr:cNvPr>
            <xdr:cNvSpPr txBox="1"/>
          </xdr:nvSpPr>
          <xdr:spPr>
            <a:xfrm>
              <a:off x="11039536" y="1703293"/>
              <a:ext cx="744570" cy="2677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lang="en-US" sz="1100" b="0" i="0">
                  <a:latin typeface="Cambria Math"/>
                </a:rPr>
                <a:t>𝑃𝑖 𝑥 𝐴𝑖</a:t>
              </a:r>
              <a:endParaRPr 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E2" sqref="E2"/>
    </sheetView>
  </sheetViews>
  <sheetFormatPr defaultRowHeight="15" x14ac:dyDescent="0.25"/>
  <cols>
    <col min="2" max="2" width="13" customWidth="1"/>
    <col min="3" max="3" width="16" customWidth="1"/>
    <col min="5" max="7" width="20.7109375" customWidth="1"/>
  </cols>
  <sheetData>
    <row r="1" spans="1:7" ht="18.75" x14ac:dyDescent="0.3">
      <c r="A1" s="17" t="s">
        <v>25</v>
      </c>
      <c r="B1" s="17" t="s">
        <v>26</v>
      </c>
      <c r="C1" s="17" t="s">
        <v>27</v>
      </c>
      <c r="E1" s="18" t="s">
        <v>28</v>
      </c>
      <c r="F1" s="18" t="s">
        <v>36</v>
      </c>
      <c r="G1" s="18" t="inlineStr">
        <is>
          <t xml:space="preserve">Áp suất (bar)</t>
        </is>
      </c>
    </row>
    <row r="2" spans="1:7" ht="18.75" x14ac:dyDescent="0.3">
      <c r="A2" s="3" t="s">
        <v>21</v>
      </c>
      <c r="B2" s="15">
        <v>56.30882</v>
      </c>
      <c r="C2" s="19">
        <v>0.315329</v>
      </c>
      <c r="E2" s="19" t="s">
        <v>43</v>
      </c>
      <c r="F2" s="19" t="n">
        <f>IF(E2="",0,VLOOKUP(E2,$A$2:$C$17,2,FALSE))</f>
        <v>5630.85623</v>
      </c>
      <c r="G2" s="19" t="n">
        <f>IF(E2="",0,VLOOKUP(E2,$A$2:$C$17,3,FALSE))</f>
        <v>31.532795</v>
      </c>
    </row>
    <row r="3" spans="1:7" ht="18.75" x14ac:dyDescent="0.3">
      <c r="A3" s="3">
        <v>1</v>
      </c>
      <c r="B3" s="15">
        <v>56.31782</v>
      </c>
      <c r="C3" s="19">
        <v>0.31538</v>
      </c>
      <c r="E3" s="19" t="s">
        <v>41</v>
      </c>
      <c r="F3" s="19" t="n">
        <f>IF(E3="",0,VLOOKUP(E3,$A$2:$C$17,2,FALSE))</f>
        <v>2815.51207</v>
      </c>
      <c r="G3" s="19" t="n">
        <f t="shared" ref="G3:G17" si="0">IF(E3="",0,VLOOKUP(E3,$A$2:$C$17,3,FALSE))</f>
        <v>15.766868</v>
      </c>
    </row>
    <row r="4" spans="1:7" ht="18.75" x14ac:dyDescent="0.3">
      <c r="A4" s="3">
        <v>2</v>
      </c>
      <c r="B4" s="15">
        <v>140.7843</v>
      </c>
      <c r="C4" s="19">
        <v>0.788392</v>
      </c>
      <c r="E4" s="19" t="s">
        <v>42</v>
      </c>
      <c r="F4" s="19" t="n">
        <f t="shared" ref="F4:F17" si="1">IF(E4="",0,VLOOKUP(E4,$A$2:$C$17,2,FALSE))</f>
        <v>2815.68099</v>
      </c>
      <c r="G4" s="19" t="n">
        <f t="shared" si="0"/>
        <v>15.767814</v>
      </c>
    </row>
    <row r="5" spans="1:7" ht="18.75" x14ac:dyDescent="0.3">
      <c r="A5" s="3" t="s">
        <v>22</v>
      </c>
      <c r="B5" s="15">
        <v>140.79415</v>
      </c>
      <c r="C5" s="19">
        <v>0.788447</v>
      </c>
      <c r="E5" s="19" t="s">
        <v>44</v>
      </c>
      <c r="F5" s="19" t="n">
        <f t="shared" si="1"/>
        <v>5631.64451</v>
      </c>
      <c r="G5" s="19" t="n">
        <f t="shared" si="0"/>
        <v>31.537209</v>
      </c>
    </row>
    <row r="6" spans="1:7" ht="18.75" x14ac:dyDescent="0.3">
      <c r="A6" s="3" t="s">
        <v>23</v>
      </c>
      <c r="B6" s="15">
        <v>281.54889</v>
      </c>
      <c r="C6" s="19">
        <v>1.576674</v>
      </c>
      <c r="E6" s="19" t="s">
        <v>45</v>
      </c>
      <c r="F6" s="19" t="n">
        <f t="shared" si="1"/>
        <v>14077.42159</v>
      </c>
      <c r="G6" s="19" t="n">
        <f t="shared" si="0"/>
        <v>78.833561</v>
      </c>
    </row>
    <row r="7" spans="1:7" ht="18.75" x14ac:dyDescent="0.3">
      <c r="A7" s="3">
        <v>10</v>
      </c>
      <c r="B7" s="15">
        <v>281.55734</v>
      </c>
      <c r="C7" s="19">
        <v>1.576721</v>
      </c>
      <c r="E7" s="19" t="s">
        <v>46</v>
      </c>
      <c r="F7" s="19" t="n">
        <f t="shared" si="1"/>
        <v>14077.70313</v>
      </c>
      <c r="G7" s="19" t="n">
        <f t="shared" si="0"/>
        <v>78.835138</v>
      </c>
    </row>
    <row r="8" spans="1:7" ht="18.75" x14ac:dyDescent="0.3">
      <c r="A8" s="3" t="s">
        <v>38</v>
      </c>
      <c r="B8" s="3">
        <v>563.16998</v>
      </c>
      <c r="C8" s="19">
        <v>3.153752</v>
      </c>
      <c r="E8" s="19" t="s">
        <v>40</v>
      </c>
      <c r="F8" s="19" t="n">
        <f t="shared" si="1"/>
        <v>1407.91138</v>
      </c>
      <c r="G8" s="19" t="n">
        <f t="shared" si="0"/>
        <v>7.884304</v>
      </c>
    </row>
    <row r="9" spans="1:7" ht="18.75" x14ac:dyDescent="0.3">
      <c r="A9" s="3">
        <v>20</v>
      </c>
      <c r="B9" s="16">
        <v>563.19814</v>
      </c>
      <c r="C9" s="19">
        <v>3.15391</v>
      </c>
      <c r="E9" s="19" t="s">
        <v>39</v>
      </c>
      <c r="F9" s="19" t="n">
        <f t="shared" si="1"/>
        <v>1407.92546</v>
      </c>
      <c r="G9" s="19" t="n">
        <f t="shared" si="0"/>
        <v>7.884383</v>
      </c>
    </row>
    <row r="10" spans="1:7" ht="18.75" x14ac:dyDescent="0.3">
      <c r="A10" s="3" t="s">
        <v>40</v>
      </c>
      <c r="B10" s="16">
        <v>1407.91138</v>
      </c>
      <c r="C10" s="19">
        <v>7.884304</v>
      </c>
      <c r="E10" s="19">
        <v>20</v>
      </c>
      <c r="F10" s="19" t="n">
        <f t="shared" si="1"/>
        <v>563.19814</v>
      </c>
      <c r="G10" s="19" t="n">
        <f t="shared" si="0"/>
        <v>3.15391</v>
      </c>
    </row>
    <row r="11" spans="1:7" ht="18.75" x14ac:dyDescent="0.3">
      <c r="A11" s="3" t="s">
        <v>39</v>
      </c>
      <c r="B11" s="16">
        <v>1407.92546</v>
      </c>
      <c r="C11" s="19">
        <v>7.884383</v>
      </c>
      <c r="E11" s="19"/>
      <c r="F11" s="19" t="n">
        <f t="shared" si="1"/>
        <v>0</v>
      </c>
      <c r="G11" s="19" t="n">
        <f t="shared" si="0"/>
        <v>0</v>
      </c>
    </row>
    <row r="12" spans="1:7" ht="18.75" x14ac:dyDescent="0.3">
      <c r="A12" s="3" t="s">
        <v>41</v>
      </c>
      <c r="B12" s="16">
        <v>2815.51207</v>
      </c>
      <c r="C12" s="19">
        <v>15.766868</v>
      </c>
      <c r="E12" s="19"/>
      <c r="F12" s="19" t="n">
        <f t="shared" si="1"/>
        <v>0</v>
      </c>
      <c r="G12" s="19" t="n">
        <f t="shared" si="0"/>
        <v>0</v>
      </c>
    </row>
    <row r="13" spans="1:7" ht="18.75" x14ac:dyDescent="0.3">
      <c r="A13" s="3" t="s">
        <v>42</v>
      </c>
      <c r="B13" s="16">
        <v>2815.68099</v>
      </c>
      <c r="C13" s="19">
        <v>15.767814</v>
      </c>
      <c r="E13" s="19"/>
      <c r="F13" s="19" t="n">
        <f t="shared" si="1"/>
        <v>0</v>
      </c>
      <c r="G13" s="19" t="n">
        <f t="shared" si="0"/>
        <v>0</v>
      </c>
    </row>
    <row r="14" spans="1:7" ht="18.75" x14ac:dyDescent="0.3">
      <c r="A14" s="3" t="s">
        <v>43</v>
      </c>
      <c r="B14" s="16">
        <v>5630.85623</v>
      </c>
      <c r="C14" s="19">
        <v>31.532795</v>
      </c>
      <c r="E14" s="19"/>
      <c r="F14" s="19" t="n">
        <f t="shared" si="1"/>
        <v>0</v>
      </c>
      <c r="G14" s="19" t="n">
        <f t="shared" si="0"/>
        <v>0</v>
      </c>
    </row>
    <row r="15" spans="1:7" ht="18.75" x14ac:dyDescent="0.3">
      <c r="A15" s="3" t="s">
        <v>44</v>
      </c>
      <c r="B15" s="16">
        <v>5631.64451</v>
      </c>
      <c r="C15" s="19">
        <v>31.537209</v>
      </c>
      <c r="E15" s="19"/>
      <c r="F15" s="19" t="n">
        <f t="shared" si="1"/>
        <v>0</v>
      </c>
      <c r="G15" s="19" t="n">
        <f t="shared" si="0"/>
        <v>0</v>
      </c>
    </row>
    <row r="16" spans="1:7" ht="18.75" x14ac:dyDescent="0.3">
      <c r="A16" s="3" t="s">
        <v>45</v>
      </c>
      <c r="B16" s="16">
        <v>14077.42159</v>
      </c>
      <c r="C16" s="19">
        <v>78.833561</v>
      </c>
      <c r="E16" s="19"/>
      <c r="F16" s="19" t="n">
        <f t="shared" si="1"/>
        <v>0</v>
      </c>
      <c r="G16" s="19" t="n">
        <f t="shared" si="0"/>
        <v>0</v>
      </c>
    </row>
    <row r="17" spans="1:7" ht="18.75" x14ac:dyDescent="0.3">
      <c r="A17" s="3" t="s">
        <v>46</v>
      </c>
      <c r="B17" s="16">
        <v>14077.70313</v>
      </c>
      <c r="C17" s="19">
        <v>78.835138</v>
      </c>
      <c r="E17" s="19"/>
      <c r="F17" s="19" t="n">
        <f t="shared" si="1"/>
        <v>0</v>
      </c>
      <c r="G17" s="19" t="n">
        <f t="shared" si="0"/>
        <v>0</v>
      </c>
    </row>
    <row r="18" spans="1:7" ht="18.75" x14ac:dyDescent="0.3">
      <c r="E18" s="18" t="s">
        <v>29</v>
      </c>
      <c r="F18" s="18" t="n">
        <f>SUM(F2:F17)</f>
        <v>48427.8535</v>
      </c>
      <c r="G18" s="18" t="n">
        <f>SUM(G2:G17)</f>
        <v>271.195982</v>
      </c>
    </row>
  </sheetData>
  <dataValidations count="1">
    <dataValidation type="list" allowBlank="1" showInputMessage="1" showErrorMessage="1" sqref="E2:E17" xr:uid="{00000000-0002-0000-0000-000000000000}">
      <formula1>$A$2:$A$17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O84"/>
  <sheetViews>
    <sheetView view="pageLayout" topLeftCell="A22" zoomScale="85" zoomScaleNormal="75" zoomScalePageLayoutView="85" workbookViewId="0">
      <selection activeCell="A52" sqref="A52:E52"/>
    </sheetView>
  </sheetViews>
  <sheetFormatPr defaultColWidth="9" defaultRowHeight="18.600000000000001" customHeight="1" x14ac:dyDescent="0.2"/>
  <cols>
    <col min="1" max="1" width="5.7109375" style="1" customWidth="1"/>
    <col min="2" max="2" width="8.7109375" style="1" customWidth="1"/>
    <col min="3" max="3" width="7.85546875" style="1" customWidth="1"/>
    <col min="4" max="9" width="9.85546875" style="1" customWidth="1"/>
    <col min="10" max="10" width="6.7109375" style="1" customWidth="1"/>
    <col min="11" max="11" width="10.42578125" style="1" customWidth="1"/>
    <col min="12" max="12" width="14.140625" style="1" customWidth="1"/>
    <col min="13" max="13" width="14.42578125" style="1" customWidth="1"/>
    <col min="14" max="14" width="19.42578125" style="1" customWidth="1"/>
    <col min="15" max="15" width="17.7109375" style="1" customWidth="1"/>
    <col min="16" max="16384" width="9" style="1"/>
  </cols>
  <sheetData>
    <row r="1" spans="1:15" ht="18.600000000000001" customHeight="1" x14ac:dyDescent="0.3">
      <c r="A1" s="92" t="s">
        <v>49</v>
      </c>
      <c r="B1" s="92"/>
      <c r="C1" s="92"/>
      <c r="D1" s="92"/>
      <c r="E1" s="93" t="s">
        <v>13</v>
      </c>
      <c r="F1" s="93"/>
      <c r="G1" s="93"/>
      <c r="H1" s="93"/>
      <c r="I1" s="93"/>
      <c r="J1" s="88" t="s">
        <v>75</v>
      </c>
      <c r="K1" s="88"/>
      <c r="L1" s="88"/>
      <c r="M1" s="88"/>
      <c r="N1" s="88"/>
      <c r="O1" s="88"/>
    </row>
    <row r="2" spans="1:15" ht="18.600000000000001" customHeight="1" x14ac:dyDescent="0.3">
      <c r="A2" s="94" t="s">
        <v>50</v>
      </c>
      <c r="B2" s="94"/>
      <c r="C2" s="94"/>
      <c r="D2" s="94"/>
      <c r="E2" s="87" t="s">
        <v>12</v>
      </c>
      <c r="F2" s="87"/>
      <c r="G2" s="87"/>
      <c r="H2" s="87"/>
      <c r="I2" s="87"/>
      <c r="J2" s="12" t="s">
        <v>61</v>
      </c>
    </row>
    <row r="3" spans="1:15" ht="18.600000000000001" customHeight="1" x14ac:dyDescent="0.3">
      <c r="A3" s="88"/>
      <c r="B3" s="88"/>
      <c r="C3" s="88"/>
      <c r="D3" s="88"/>
      <c r="E3" s="95" t="inlineStr">
        <is>
          <t xml:space="preserve">Hà Nội, ngày 12 tháng 12 năm 2023</t>
        </is>
      </c>
      <c r="F3" s="95"/>
      <c r="G3" s="95"/>
      <c r="H3" s="95"/>
      <c r="I3" s="95"/>
      <c r="J3" s="90" t="s">
        <v>59</v>
      </c>
      <c r="K3" s="90"/>
      <c r="L3" s="90"/>
      <c r="M3" s="90"/>
      <c r="N3" s="90"/>
      <c r="O3" s="90"/>
    </row>
    <row r="4" spans="1:15" ht="18.600000000000001" customHeight="1" x14ac:dyDescent="0.25">
      <c r="A4" s="7"/>
      <c r="B4" s="7"/>
      <c r="C4" s="7"/>
      <c r="D4" s="7"/>
      <c r="E4" s="7"/>
      <c r="F4" s="7"/>
      <c r="G4" s="9"/>
      <c r="H4" s="9"/>
      <c r="I4" s="9"/>
      <c r="J4" s="70" t="s">
        <v>3</v>
      </c>
      <c r="K4" s="74" t="s">
        <v>18</v>
      </c>
      <c r="L4" s="74" t="s">
        <v>24</v>
      </c>
      <c r="M4" s="74" t="s">
        <v>33</v>
      </c>
      <c r="N4" s="70" t="s">
        <v>19</v>
      </c>
      <c r="O4" s="70"/>
    </row>
    <row r="5" spans="1:15" ht="18.600000000000001" customHeight="1" x14ac:dyDescent="0.3">
      <c r="A5" s="7"/>
      <c r="B5" s="7"/>
      <c r="C5" s="7"/>
      <c r="D5" s="88" t="s">
        <v>10</v>
      </c>
      <c r="E5" s="88"/>
      <c r="F5" s="88"/>
      <c r="G5" s="88"/>
      <c r="H5" s="8"/>
      <c r="I5" s="7"/>
      <c r="J5" s="70"/>
      <c r="K5" s="74"/>
      <c r="L5" s="74"/>
      <c r="M5" s="74"/>
      <c r="N5" s="70"/>
      <c r="O5" s="70"/>
    </row>
    <row r="6" spans="1:15" ht="18.600000000000001" customHeight="1" x14ac:dyDescent="0.3">
      <c r="A6" s="7"/>
      <c r="B6" s="7"/>
      <c r="C6" s="7"/>
      <c r="D6" s="4"/>
      <c r="E6" s="88" t="inlineStr">
        <is>
          <t xml:space="preserve">Số: 007/2023</t>
        </is>
      </c>
      <c r="F6" s="88"/>
      <c r="G6" s="4"/>
      <c r="H6" s="7"/>
      <c r="I6" s="7"/>
      <c r="J6" s="70"/>
      <c r="K6" s="74"/>
      <c r="L6" s="74"/>
      <c r="M6" s="74"/>
      <c r="N6" s="3" t="s">
        <v>14</v>
      </c>
      <c r="O6" s="3" t="s">
        <v>2</v>
      </c>
    </row>
    <row r="7" spans="1:15" ht="18.600000000000001" customHeight="1" x14ac:dyDescent="0.2">
      <c r="A7" s="2"/>
      <c r="B7" s="2"/>
      <c r="C7" s="2"/>
      <c r="D7" s="2"/>
      <c r="E7" s="6"/>
      <c r="F7" s="6"/>
      <c r="G7" s="2"/>
      <c r="H7" s="2"/>
      <c r="I7" s="2"/>
      <c r="J7" s="3">
        <v>1</v>
      </c>
      <c r="K7" s="3" t="inlineStr">
        <is>
          <t xml:space="preserve">1</t>
        </is>
      </c>
      <c r="L7" s="15">
        <v>28.15553</v>
      </c>
      <c r="M7" s="15" t="n">
        <f>(100*L7)/(100+N7)</f>
        <v>28.1529962303393</v>
      </c>
      <c r="N7" s="23">
        <v>0.009</v>
      </c>
      <c r="O7" s="3">
        <v>0.0375</v>
      </c>
    </row>
    <row r="8" spans="1:15" ht="18.600000000000001" customHeight="1" x14ac:dyDescent="0.3">
      <c r="A8" s="4" t="s">
        <v>51</v>
      </c>
      <c r="B8" s="2"/>
      <c r="C8" s="2"/>
      <c r="D8" s="4" t="s">
        <v>62</v>
      </c>
      <c r="E8" s="2"/>
      <c r="F8" s="2"/>
      <c r="G8" s="2"/>
      <c r="H8" s="2"/>
      <c r="I8" s="2"/>
      <c r="J8" s="3">
        <v>2</v>
      </c>
      <c r="K8" s="3" t="inlineStr">
        <is>
          <t xml:space="preserve">2</t>
        </is>
      </c>
      <c r="L8" s="15">
        <v>28.15525</v>
      </c>
      <c r="M8" s="15" t="n">
        <f t="shared" ref="M8:M24" si="0">(100*L8)/(100+N8)</f>
        <v>28.1529977601792</v>
      </c>
      <c r="N8" s="23">
        <v>0.008</v>
      </c>
      <c r="O8" s="3">
        <v>0.0375</v>
      </c>
    </row>
    <row r="9" spans="1:15" ht="18.600000000000001" customHeight="1" x14ac:dyDescent="0.3">
      <c r="A9" s="4" t="s">
        <v>52</v>
      </c>
      <c r="C9" s="4" t="inlineStr">
        <is>
          <t xml:space="preserve">280</t>
        </is>
      </c>
      <c r="D9" s="4"/>
      <c r="E9" s="4"/>
      <c r="F9" s="4" t="s">
        <v>8</v>
      </c>
      <c r="G9" s="10" t="inlineStr">
        <is>
          <t xml:space="preserve">B280-7702</t>
        </is>
      </c>
      <c r="H9" s="4"/>
      <c r="I9" s="4"/>
      <c r="J9" s="3">
        <v>3</v>
      </c>
      <c r="K9" s="3" t="inlineStr">
        <is>
          <t xml:space="preserve">3</t>
        </is>
      </c>
      <c r="L9" s="15">
        <v>56.31782</v>
      </c>
      <c r="M9" s="15" t="n">
        <f t="shared" si="0"/>
        <v>56.3059957408944</v>
      </c>
      <c r="N9" s="23">
        <v>0.021</v>
      </c>
      <c r="O9" s="3">
        <v>0.0375</v>
      </c>
    </row>
    <row r="10" spans="1:15" ht="18.600000000000001" customHeight="1" x14ac:dyDescent="0.3">
      <c r="A10" s="4" t="s">
        <v>53</v>
      </c>
      <c r="B10" s="2"/>
      <c r="C10" s="4"/>
      <c r="D10" s="4" t="inlineStr">
        <is>
          <t xml:space="preserve">Budenberg / Anh</t>
        </is>
      </c>
      <c r="J10" s="3">
        <v>4</v>
      </c>
      <c r="K10" s="3" t="inlineStr">
        <is>
          <t xml:space="preserve">4</t>
        </is>
      </c>
      <c r="L10" s="15">
        <v>56.30882</v>
      </c>
      <c r="M10" s="15" t="n">
        <f t="shared" ref="M10" si="1">(100*L10)/(100+N10)</f>
        <v>56.306004699765</v>
      </c>
      <c r="N10" s="23">
        <v>0.005</v>
      </c>
      <c r="O10" s="3">
        <v>0.0375</v>
      </c>
    </row>
    <row r="11" spans="1:15" ht="18.600000000000001" customHeight="1" x14ac:dyDescent="0.3">
      <c r="A11" s="4" t="s">
        <v>54</v>
      </c>
      <c r="H11" s="4"/>
      <c r="I11" s="4"/>
      <c r="J11" s="3">
        <v>5</v>
      </c>
      <c r="K11" s="3" t="inlineStr">
        <is>
          <t xml:space="preserve">5</t>
        </is>
      </c>
      <c r="L11" s="15">
        <v>140.7843</v>
      </c>
      <c r="M11" s="15" t="n">
        <f>(100*L11)/(100+N11)</f>
        <v>140.766000419945</v>
      </c>
      <c r="N11" s="23">
        <v>0.013</v>
      </c>
      <c r="O11" s="3">
        <v>0.0375</v>
      </c>
    </row>
    <row r="12" spans="1:15" ht="18.600000000000001" customHeight="1" x14ac:dyDescent="0.3">
      <c r="A12" s="4"/>
      <c r="B12" s="4" t="inlineStr">
        <is>
          <t xml:space="preserve">Phạm vi đo: (0,2 đến 280) bar;</t>
        </is>
      </c>
      <c r="D12" s="4"/>
      <c r="H12" s="4"/>
      <c r="I12" s="4"/>
      <c r="J12" s="3">
        <v>6</v>
      </c>
      <c r="K12" s="3" t="inlineStr">
        <is>
          <t xml:space="preserve">6</t>
        </is>
      </c>
      <c r="L12" s="15">
        <v>140.79415</v>
      </c>
      <c r="M12" s="15" t="n">
        <f t="shared" si="0"/>
        <v>140.76599680064</v>
      </c>
      <c r="N12" s="23">
        <v>0.02</v>
      </c>
      <c r="O12" s="3">
        <v>0.0375</v>
      </c>
    </row>
    <row r="13" spans="1:15" ht="18.600000000000001" customHeight="1" x14ac:dyDescent="0.3">
      <c r="A13" s="4"/>
      <c r="B13" s="4" t="inlineStr">
        <is>
          <t xml:space="preserve">Cấp chính xác: 0,05</t>
        </is>
      </c>
      <c r="D13" s="14"/>
      <c r="H13" s="4"/>
      <c r="J13" s="3">
        <v>7</v>
      </c>
      <c r="K13" s="3" t="inlineStr">
        <is>
          <t xml:space="preserve">7</t>
        </is>
      </c>
      <c r="L13" s="15">
        <v>281.54889</v>
      </c>
      <c r="M13" s="15" t="n">
        <f t="shared" si="0"/>
        <v>281.531998080115</v>
      </c>
      <c r="N13" s="23">
        <v>0.006</v>
      </c>
      <c r="O13" s="3">
        <v>0.0375</v>
      </c>
    </row>
    <row r="14" spans="1:15" ht="18.600000000000001" customHeight="1" x14ac:dyDescent="0.3">
      <c r="A14" s="4" t="inlineStr">
        <is>
          <t xml:space="preserve">Đơn vị sử dụng: Trung tâm Kiểm định Kỹ thuật An toàn Khu vực 4</t>
        </is>
      </c>
      <c r="B14" s="2"/>
      <c r="C14" s="4"/>
      <c r="D14" s="4"/>
      <c r="E14" s="4"/>
      <c r="F14" s="10"/>
      <c r="G14" s="10"/>
      <c r="H14" s="4"/>
      <c r="I14" s="4"/>
      <c r="J14" s="3">
        <v>8</v>
      </c>
      <c r="K14" s="3" t="inlineStr">
        <is>
          <t xml:space="preserve">8</t>
        </is>
      </c>
      <c r="L14" s="15">
        <v>281.55734</v>
      </c>
      <c r="M14" s="15" t="n">
        <f t="shared" si="0"/>
        <v>281.532002119809</v>
      </c>
      <c r="N14" s="23">
        <v>0.009</v>
      </c>
      <c r="O14" s="3">
        <v>0.0375</v>
      </c>
    </row>
    <row r="15" spans="1:15" ht="18.600000000000001" customHeight="1" x14ac:dyDescent="0.3">
      <c r="A15" s="4" t="s">
        <v>55</v>
      </c>
      <c r="B15" s="2"/>
      <c r="C15" s="4"/>
      <c r="D15" s="4"/>
      <c r="E15" s="4"/>
      <c r="F15" s="10" t="s">
        <v>68</v>
      </c>
      <c r="G15" s="10"/>
      <c r="H15" s="4"/>
      <c r="I15" s="4"/>
      <c r="J15" s="3">
        <v>9</v>
      </c>
      <c r="K15" s="3" t="inlineStr">
        <is>
          <t xml:space="preserve">9</t>
        </is>
      </c>
      <c r="L15" s="15">
        <v>563.19814</v>
      </c>
      <c r="M15" s="15" t="n">
        <f t="shared" si="0"/>
        <v>563.063004878829</v>
      </c>
      <c r="N15" s="23">
        <v>0.024</v>
      </c>
      <c r="O15" s="3">
        <v>0.0375</v>
      </c>
    </row>
    <row r="16" spans="1:15" ht="18.600000000000001" customHeight="1" x14ac:dyDescent="0.3">
      <c r="A16" s="4" t="s">
        <v>56</v>
      </c>
      <c r="B16" s="4"/>
      <c r="C16" s="4"/>
      <c r="D16" s="4"/>
      <c r="E16" s="4" t="inlineStr">
        <is>
          <t xml:space="preserve">Áp kế píttông PG7302</t>
        </is>
      </c>
      <c r="G16" s="10"/>
      <c r="H16" s="4"/>
      <c r="I16" s="4"/>
      <c r="J16" s="3">
        <v>10</v>
      </c>
      <c r="K16" s="3" t="inlineStr">
        <is>
          <t xml:space="preserve">10</t>
        </is>
      </c>
      <c r="L16" s="15">
        <v>563.16998</v>
      </c>
      <c r="M16" s="15" t="n">
        <f t="shared" si="0"/>
        <v>563.062998030374</v>
      </c>
      <c r="N16" s="23">
        <v>0.019</v>
      </c>
      <c r="O16" s="3">
        <v>0.0375</v>
      </c>
    </row>
    <row r="17" spans="1:15" ht="18.600000000000001" customHeight="1" x14ac:dyDescent="0.3">
      <c r="A17" s="4" t="s">
        <v>7</v>
      </c>
      <c r="B17" s="2"/>
      <c r="C17" s="4"/>
      <c r="D17" s="4"/>
      <c r="E17" s="4"/>
      <c r="F17" s="10"/>
      <c r="G17" s="10"/>
      <c r="H17" s="4"/>
      <c r="I17" s="4"/>
      <c r="J17" s="3">
        <v>11</v>
      </c>
      <c r="K17" s="3" t="inlineStr">
        <is>
          <t xml:space="preserve">11</t>
        </is>
      </c>
      <c r="L17" s="15">
        <v>1407.92546</v>
      </c>
      <c r="M17" s="15" t="n">
        <f t="shared" si="0"/>
        <v>1407.65800497905</v>
      </c>
      <c r="N17" s="23">
        <v>0.019</v>
      </c>
      <c r="O17" s="3">
        <v>0.0375</v>
      </c>
    </row>
    <row r="18" spans="1:15" ht="18.600000000000001" customHeight="1" x14ac:dyDescent="0.3">
      <c r="A18" s="4"/>
      <c r="B18" s="4" t="s">
        <v>6</v>
      </c>
      <c r="C18" s="4"/>
      <c r="D18" s="4"/>
      <c r="E18" s="10" t="inlineStr">
        <is>
          <t xml:space="preserve">(20 ± 2) ºC</t>
        </is>
      </c>
      <c r="F18" s="10"/>
      <c r="J18" s="3">
        <v>12</v>
      </c>
      <c r="K18" s="3" t="inlineStr">
        <is>
          <t xml:space="preserve">12</t>
        </is>
      </c>
      <c r="L18" s="15">
        <v>1407.91138</v>
      </c>
      <c r="M18" s="15" t="n">
        <f t="shared" si="0"/>
        <v>1407.65800155972</v>
      </c>
      <c r="N18" s="23">
        <v>0.018</v>
      </c>
      <c r="O18" s="3">
        <v>0.0375</v>
      </c>
    </row>
    <row r="19" spans="1:15" ht="18.600000000000001" customHeight="1" x14ac:dyDescent="0.3">
      <c r="A19" s="4"/>
      <c r="B19" s="4" t="s">
        <v>5</v>
      </c>
      <c r="C19" s="4"/>
      <c r="D19" s="4"/>
      <c r="E19" s="5" t="inlineStr">
        <is>
          <t xml:space="preserve">(58 ± 5) %RH</t>
        </is>
      </c>
      <c r="F19" s="10"/>
      <c r="J19" s="3">
        <v>13</v>
      </c>
      <c r="K19" s="3" t="inlineStr">
        <is>
          <t xml:space="preserve">13</t>
        </is>
      </c>
      <c r="L19" s="15">
        <v>2815.51207</v>
      </c>
      <c r="M19" s="15" t="n">
        <f t="shared" si="0"/>
        <v>2815.31499795014</v>
      </c>
      <c r="N19" s="23">
        <v>0.007</v>
      </c>
      <c r="O19" s="3">
        <v>0.0375</v>
      </c>
    </row>
    <row r="20" spans="1:15" ht="18.600000000000001" customHeight="1" x14ac:dyDescent="0.3">
      <c r="A20" s="4" t="s">
        <v>57</v>
      </c>
      <c r="B20" s="4"/>
      <c r="C20" s="4"/>
      <c r="D20" s="4"/>
      <c r="E20" s="96">
        <v>45272</v>
      </c>
      <c r="F20" s="96"/>
      <c r="G20" s="4"/>
      <c r="H20" s="4"/>
      <c r="I20" s="4"/>
      <c r="J20" s="3">
        <v>14</v>
      </c>
      <c r="K20" s="3" t="inlineStr">
        <is>
          <t xml:space="preserve">14</t>
        </is>
      </c>
      <c r="L20" s="15">
        <v>2815.68099</v>
      </c>
      <c r="M20" s="15" t="n">
        <f t="shared" si="0"/>
        <v>2815.31499905012</v>
      </c>
      <c r="N20" s="23">
        <v>0.013</v>
      </c>
      <c r="O20" s="3">
        <v>0.0375</v>
      </c>
    </row>
    <row r="21" spans="1:15" ht="18.600000000000001" customHeight="1" x14ac:dyDescent="0.3">
      <c r="A21" s="10"/>
      <c r="B21" s="10"/>
      <c r="C21" s="10"/>
      <c r="D21" s="10"/>
      <c r="E21" s="10"/>
      <c r="F21" s="10"/>
      <c r="G21" s="10"/>
      <c r="H21" s="4"/>
      <c r="I21" s="4"/>
      <c r="J21" s="3">
        <v>15</v>
      </c>
      <c r="K21" s="3" t="inlineStr">
        <is>
          <t xml:space="preserve">15</t>
        </is>
      </c>
      <c r="L21" s="15">
        <v>5630.85623</v>
      </c>
      <c r="M21" s="15" t="n">
        <f t="shared" si="0"/>
        <v>5630.63100475981</v>
      </c>
      <c r="N21" s="23">
        <v>0.004</v>
      </c>
      <c r="O21" s="3">
        <v>0.0375</v>
      </c>
    </row>
    <row r="22" spans="1:15" ht="18.600000000000001" customHeight="1" x14ac:dyDescent="0.3">
      <c r="A22" s="10"/>
      <c r="B22" s="10"/>
      <c r="C22" s="10"/>
      <c r="D22" s="91" t="s">
        <v>4</v>
      </c>
      <c r="E22" s="91"/>
      <c r="F22" s="91"/>
      <c r="G22" s="91"/>
      <c r="H22" s="4"/>
      <c r="I22" s="4"/>
      <c r="J22" s="3">
        <v>16</v>
      </c>
      <c r="K22" s="3" t="inlineStr">
        <is>
          <t xml:space="preserve">16</t>
        </is>
      </c>
      <c r="L22" s="15">
        <v>5631.64451</v>
      </c>
      <c r="M22" s="15" t="n">
        <f t="shared" si="0"/>
        <v>5630.63099642064</v>
      </c>
      <c r="N22" s="3">
        <v>0.018</v>
      </c>
      <c r="O22" s="3">
        <v>0.0375</v>
      </c>
    </row>
    <row r="23" spans="1:15" ht="18.600000000000001" customHeight="1" x14ac:dyDescent="0.3">
      <c r="I23" s="4"/>
      <c r="J23" s="3">
        <v>17</v>
      </c>
      <c r="K23" s="3" t="inlineStr">
        <is>
          <t xml:space="preserve">17</t>
        </is>
      </c>
      <c r="L23" s="15">
        <v>14077.70313</v>
      </c>
      <c r="M23" s="15" t="n">
        <f t="shared" si="0"/>
        <v>14076.5770038397</v>
      </c>
      <c r="N23" s="3">
        <v>0.008</v>
      </c>
      <c r="O23" s="3">
        <v>0.0375</v>
      </c>
    </row>
    <row r="24" spans="1:15" ht="18.600000000000001" customHeight="1" x14ac:dyDescent="0.3">
      <c r="A24" s="26" t="s">
        <v>48</v>
      </c>
      <c r="B24" s="10"/>
      <c r="C24" s="10"/>
      <c r="D24" s="10"/>
      <c r="F24" s="10"/>
      <c r="H24" s="4"/>
      <c r="I24" s="4"/>
      <c r="J24" s="61">
        <v>18</v>
      </c>
      <c r="K24" s="61" t="inlineStr">
        <is>
          <t xml:space="preserve">18</t>
        </is>
      </c>
      <c r="L24" s="62">
        <v>14077.42159</v>
      </c>
      <c r="M24" s="62" t="n">
        <f t="shared" si="0"/>
        <v>14076.5769953803</v>
      </c>
      <c r="N24" s="61">
        <v>0.006</v>
      </c>
      <c r="O24" s="61">
        <v>0.0375</v>
      </c>
    </row>
    <row r="25" spans="1:15" ht="18.600000000000001" customHeight="1" x14ac:dyDescent="0.3">
      <c r="B25" s="10" t="inlineStr">
        <is>
          <t xml:space="preserve"> Đạt</t>
        </is>
      </c>
      <c r="J25" s="43"/>
      <c r="K25" s="43"/>
      <c r="L25" s="66"/>
      <c r="M25" s="43"/>
      <c r="N25" s="43"/>
      <c r="O25" s="43"/>
    </row>
    <row r="26" spans="1:15" ht="18.600000000000001" customHeight="1" x14ac:dyDescent="0.3">
      <c r="B26" s="10" t="inlineStr">
        <is>
          <t xml:space="preserve"> Không đạt</t>
        </is>
      </c>
      <c r="J26" s="31"/>
      <c r="K26" s="64"/>
      <c r="L26" s="65"/>
      <c r="M26" s="64"/>
      <c r="N26" s="64"/>
      <c r="O26" s="64"/>
    </row>
    <row r="27" spans="1:15" s="11" customFormat="1" ht="18.600000000000001" customHeight="1" x14ac:dyDescent="0.25">
      <c r="A27" s="26" t="s">
        <v>71</v>
      </c>
      <c r="J27" s="31"/>
      <c r="K27" s="64"/>
      <c r="L27" s="65"/>
      <c r="M27" s="64"/>
      <c r="N27" s="64"/>
      <c r="O27" s="64"/>
    </row>
    <row r="28" spans="1:15" s="11" customFormat="1" ht="18.600000000000001" customHeight="1" x14ac:dyDescent="0.3">
      <c r="B28" s="10" t="inlineStr">
        <is>
          <t xml:space="preserve"> Đạt</t>
        </is>
      </c>
      <c r="C28" s="10"/>
      <c r="D28" s="10"/>
      <c r="J28" s="31"/>
      <c r="K28" s="64"/>
      <c r="L28" s="65"/>
      <c r="M28" s="64"/>
      <c r="N28" s="64"/>
      <c r="O28" s="64"/>
    </row>
    <row r="29" spans="1:15" s="11" customFormat="1" ht="18.600000000000001" customHeight="1" x14ac:dyDescent="0.3">
      <c r="B29" s="10" t="inlineStr">
        <is>
          <t xml:space="preserve"> Không đạt</t>
        </is>
      </c>
      <c r="J29" s="31"/>
      <c r="K29" s="64"/>
      <c r="L29" s="65"/>
      <c r="M29" s="64"/>
      <c r="N29" s="64"/>
      <c r="O29" s="64"/>
    </row>
    <row r="30" spans="1:15" s="11" customFormat="1" ht="18.600000000000001" customHeight="1" x14ac:dyDescent="0.25">
      <c r="A30" s="8" t="s">
        <v>58</v>
      </c>
      <c r="J30" s="31"/>
      <c r="K30" s="64"/>
      <c r="L30" s="65"/>
      <c r="M30" s="64"/>
      <c r="N30" s="64"/>
      <c r="O30" s="64"/>
    </row>
    <row r="31" spans="1:15" s="11" customFormat="1" ht="18.600000000000001" customHeight="1" x14ac:dyDescent="0.3">
      <c r="B31" s="10" t="inlineStr">
        <is>
          <t xml:space="preserve"> Đạt</t>
        </is>
      </c>
      <c r="J31" s="31"/>
      <c r="K31" s="64"/>
      <c r="L31" s="65"/>
      <c r="M31" s="64"/>
      <c r="N31" s="64"/>
      <c r="O31" s="64"/>
    </row>
    <row r="32" spans="1:15" s="11" customFormat="1" ht="18.600000000000001" customHeight="1" x14ac:dyDescent="0.3">
      <c r="B32" s="10" t="inlineStr">
        <is>
          <t xml:space="preserve"> Không đạt</t>
        </is>
      </c>
      <c r="J32" s="31"/>
      <c r="K32" s="64"/>
      <c r="L32" s="65"/>
      <c r="M32" s="64"/>
      <c r="N32" s="64"/>
      <c r="O32" s="64"/>
    </row>
    <row r="33" spans="1:15" s="11" customFormat="1" ht="18.600000000000001" customHeight="1" x14ac:dyDescent="0.25">
      <c r="J33" s="31"/>
      <c r="K33" s="31"/>
      <c r="L33" s="63"/>
      <c r="M33" s="31"/>
      <c r="N33" s="31"/>
      <c r="O33" s="31"/>
    </row>
    <row r="34" spans="1:15" s="4" customFormat="1" ht="18.600000000000001" customHeight="1" x14ac:dyDescent="0.3">
      <c r="J34" s="31"/>
      <c r="K34" s="31"/>
      <c r="L34" s="63"/>
      <c r="M34" s="31"/>
      <c r="N34" s="31"/>
      <c r="O34" s="31"/>
    </row>
    <row r="35" spans="1:15" s="4" customFormat="1" ht="18.600000000000001" customHeight="1" x14ac:dyDescent="0.3">
      <c r="B35" s="88" t="s">
        <v>1</v>
      </c>
      <c r="C35" s="88"/>
      <c r="D35" s="88"/>
      <c r="E35" s="88"/>
      <c r="F35" s="88" t="s">
        <v>73</v>
      </c>
      <c r="G35" s="88"/>
      <c r="H35" s="88"/>
      <c r="I35" s="88"/>
      <c r="J35" s="31"/>
      <c r="K35" s="31"/>
      <c r="L35" s="63"/>
      <c r="M35" s="31"/>
      <c r="N35" s="31"/>
      <c r="O35" s="31"/>
    </row>
    <row r="36" spans="1:15" s="4" customFormat="1" ht="18.600000000000001" customHeight="1" x14ac:dyDescent="0.3">
      <c r="J36" s="31"/>
      <c r="K36" s="31"/>
      <c r="L36" s="63"/>
      <c r="M36" s="31"/>
      <c r="N36" s="31"/>
      <c r="O36" s="31"/>
    </row>
    <row r="37" spans="1:15" s="4" customFormat="1" ht="18.600000000000001" customHeight="1" x14ac:dyDescent="0.3">
      <c r="J37" s="31"/>
      <c r="K37" s="31"/>
      <c r="L37" s="63"/>
      <c r="M37" s="31"/>
      <c r="N37" s="31"/>
      <c r="O37" s="31"/>
    </row>
    <row r="38" spans="1:15" s="4" customFormat="1" ht="18.600000000000001" customHeight="1" x14ac:dyDescent="0.3">
      <c r="D38" s="12"/>
      <c r="G38" s="12"/>
      <c r="H38" s="12"/>
      <c r="J38" s="31"/>
      <c r="K38" s="31"/>
      <c r="L38" s="63"/>
      <c r="M38" s="31"/>
      <c r="N38" s="31"/>
      <c r="O38" s="31"/>
    </row>
    <row r="39" spans="1:15" s="4" customFormat="1" ht="18.600000000000001" customHeight="1" x14ac:dyDescent="0.3">
      <c r="J39" s="31"/>
      <c r="K39" s="31"/>
      <c r="L39" s="63"/>
      <c r="M39" s="31"/>
      <c r="N39" s="31"/>
      <c r="O39" s="31"/>
    </row>
    <row r="40" spans="1:15" s="4" customFormat="1" ht="18.600000000000001" customHeight="1" x14ac:dyDescent="0.3">
      <c r="B40" s="88" t="inlineStr">
        <is>
          <t xml:space="preserve">Trần Quốc Bảo</t>
        </is>
      </c>
      <c r="C40" s="88"/>
      <c r="D40" s="88"/>
      <c r="E40" s="88"/>
      <c r="F40" s="88" t="inlineStr">
        <is>
          <t xml:space="preserve">Luyện Thanh Tùng</t>
        </is>
      </c>
      <c r="G40" s="88"/>
      <c r="H40" s="88"/>
      <c r="I40" s="88"/>
      <c r="J40" s="31"/>
      <c r="K40" s="31"/>
      <c r="L40" s="63"/>
      <c r="M40" s="31"/>
      <c r="N40" s="31"/>
      <c r="O40" s="31"/>
    </row>
    <row r="41" spans="1:15" s="4" customFormat="1" ht="18.600000000000001" customHeight="1" x14ac:dyDescent="0.3">
      <c r="J41" s="31"/>
      <c r="K41" s="31"/>
      <c r="L41" s="63"/>
      <c r="M41" s="31"/>
      <c r="N41" s="31"/>
      <c r="O41" s="31"/>
    </row>
    <row r="42" spans="1:15" s="4" customFormat="1" ht="18.600000000000001" customHeight="1" x14ac:dyDescent="0.3">
      <c r="I42" s="67" t="s">
        <v>142</v>
      </c>
      <c r="J42" s="31"/>
      <c r="K42" s="31"/>
      <c r="L42" s="63"/>
      <c r="M42" s="31"/>
      <c r="N42" s="31"/>
      <c r="O42" s="68" t="s">
        <v>144</v>
      </c>
    </row>
    <row r="43" spans="1:15" s="32" customFormat="1" ht="22.5" customHeight="1" x14ac:dyDescent="0.25">
      <c r="A43" s="89" t="s">
        <v>74</v>
      </c>
      <c r="B43" s="89"/>
      <c r="C43" s="89"/>
      <c r="D43" s="89"/>
      <c r="E43" s="89"/>
      <c r="F43" s="89"/>
      <c r="G43" s="89"/>
      <c r="H43" s="89"/>
      <c r="I43" s="89"/>
    </row>
    <row r="44" spans="1:15" s="34" customFormat="1" ht="22.5" customHeight="1" x14ac:dyDescent="0.25">
      <c r="A44" s="33" t="s">
        <v>76</v>
      </c>
    </row>
    <row r="45" spans="1:15" s="35" customFormat="1" ht="22.5" customHeight="1" x14ac:dyDescent="0.25">
      <c r="A45" s="84" t="s">
        <v>70</v>
      </c>
      <c r="B45" s="84"/>
      <c r="C45" s="84"/>
      <c r="D45" s="84"/>
      <c r="E45" s="84"/>
      <c r="F45" s="84"/>
      <c r="G45" s="84"/>
      <c r="H45" s="84"/>
      <c r="I45" s="84"/>
    </row>
    <row r="46" spans="1:15" s="35" customFormat="1" ht="22.5" customHeight="1" x14ac:dyDescent="0.25">
      <c r="A46" s="71" t="s">
        <v>17</v>
      </c>
      <c r="B46" s="71"/>
      <c r="C46" s="71"/>
      <c r="D46" s="71"/>
      <c r="E46" s="71"/>
      <c r="F46" s="71" t="s">
        <v>14</v>
      </c>
      <c r="G46" s="71"/>
      <c r="H46" s="71" t="s">
        <v>2</v>
      </c>
      <c r="I46" s="71"/>
    </row>
    <row r="47" spans="1:15" s="35" customFormat="1" ht="39" customHeight="1" x14ac:dyDescent="0.25">
      <c r="A47" s="86" t="s">
        <v>101</v>
      </c>
      <c r="B47" s="86"/>
      <c r="C47" s="86"/>
      <c r="D47" s="86"/>
      <c r="E47" s="86"/>
      <c r="F47" s="86"/>
      <c r="G47" s="86"/>
      <c r="H47" s="86"/>
      <c r="I47" s="86"/>
    </row>
    <row r="48" spans="1:15" s="35" customFormat="1" ht="22.5" customHeight="1" x14ac:dyDescent="0.25">
      <c r="A48" s="85" t="s">
        <v>77</v>
      </c>
      <c r="B48" s="85"/>
      <c r="C48" s="85"/>
      <c r="D48" s="85"/>
      <c r="E48" s="85"/>
      <c r="F48" s="70">
        <v>2.7</v>
      </c>
      <c r="G48" s="70"/>
      <c r="H48" s="70" t="s">
        <v>34</v>
      </c>
      <c r="I48" s="70"/>
    </row>
    <row r="49" spans="1:9" s="35" customFormat="1" ht="22.5" customHeight="1" x14ac:dyDescent="0.25">
      <c r="A49" s="85"/>
      <c r="B49" s="85"/>
      <c r="C49" s="85"/>
      <c r="D49" s="85"/>
      <c r="E49" s="85"/>
      <c r="F49" s="70"/>
      <c r="G49" s="70"/>
      <c r="H49" s="70"/>
      <c r="I49" s="70"/>
    </row>
    <row r="50" spans="1:9" s="35" customFormat="1" ht="22.5" customHeight="1" x14ac:dyDescent="0.25">
      <c r="A50" s="76" t="s">
        <v>102</v>
      </c>
      <c r="B50" s="77"/>
      <c r="C50" s="77"/>
      <c r="D50" s="77"/>
      <c r="E50" s="77"/>
      <c r="F50" s="77"/>
      <c r="G50" s="77"/>
      <c r="H50" s="77"/>
      <c r="I50" s="78"/>
    </row>
    <row r="51" spans="1:9" s="35" customFormat="1" ht="22.5" customHeight="1" x14ac:dyDescent="0.25">
      <c r="A51" s="27" t="s">
        <v>95</v>
      </c>
      <c r="B51" s="36"/>
      <c r="C51" s="36"/>
      <c r="D51" s="36"/>
      <c r="E51" s="36"/>
      <c r="F51" s="72">
        <v>19.5</v>
      </c>
      <c r="G51" s="73"/>
      <c r="H51" s="72" t="s">
        <v>96</v>
      </c>
      <c r="I51" s="73"/>
    </row>
    <row r="52" spans="1:9" s="35" customFormat="1" ht="44.25" customHeight="1" x14ac:dyDescent="0.25">
      <c r="A52" s="81" t="s">
        <v>98</v>
      </c>
      <c r="B52" s="82"/>
      <c r="C52" s="82"/>
      <c r="D52" s="82"/>
      <c r="E52" s="83"/>
      <c r="F52" s="72" t="inlineStr">
        <is>
          <t xml:space="preserve">Vt1 = 0,3</t>
        </is>
      </c>
      <c r="G52" s="73"/>
      <c r="H52" s="79"/>
      <c r="I52" s="80"/>
    </row>
    <row r="53" spans="1:9" s="35" customFormat="1" ht="40.5" customHeight="1" x14ac:dyDescent="0.25">
      <c r="A53" s="81" t="s">
        <v>100</v>
      </c>
      <c r="B53" s="82"/>
      <c r="C53" s="82"/>
      <c r="D53" s="82"/>
      <c r="E53" s="83"/>
      <c r="F53" s="72" t="inlineStr">
        <is>
          <t xml:space="preserve">Vt2 = 0,3</t>
        </is>
      </c>
      <c r="G53" s="73"/>
      <c r="H53" s="79"/>
      <c r="I53" s="80"/>
    </row>
    <row r="54" spans="1:9" s="35" customFormat="1" ht="22.5" customHeight="1" x14ac:dyDescent="0.25">
      <c r="A54" s="37" t="s">
        <v>93</v>
      </c>
      <c r="B54" s="38"/>
      <c r="C54" s="38"/>
      <c r="D54" s="38"/>
      <c r="E54" s="39"/>
      <c r="F54" s="72">
        <v>100.0</v>
      </c>
      <c r="G54" s="73"/>
      <c r="H54" s="72" t="s">
        <v>94</v>
      </c>
      <c r="I54" s="73"/>
    </row>
    <row r="55" spans="1:9" s="35" customFormat="1" ht="22.5" customHeight="1" x14ac:dyDescent="0.25">
      <c r="A55" s="41"/>
      <c r="B55" s="41"/>
      <c r="C55" s="41"/>
      <c r="D55" s="41"/>
      <c r="E55" s="41"/>
      <c r="F55" s="42"/>
      <c r="G55" s="42"/>
      <c r="H55" s="43"/>
      <c r="I55" s="44"/>
    </row>
    <row r="56" spans="1:9" s="35" customFormat="1" ht="22.5" customHeight="1" x14ac:dyDescent="0.25">
      <c r="A56" s="84" t="s">
        <v>79</v>
      </c>
      <c r="B56" s="84"/>
      <c r="C56" s="84"/>
      <c r="D56" s="84"/>
      <c r="E56" s="84"/>
      <c r="F56" s="84"/>
      <c r="G56" s="84"/>
      <c r="H56" s="84"/>
      <c r="I56" s="84"/>
    </row>
    <row r="57" spans="1:9" s="35" customFormat="1" ht="22.5" customHeight="1" x14ac:dyDescent="0.25">
      <c r="A57" s="71" t="s">
        <v>81</v>
      </c>
      <c r="B57" s="71"/>
      <c r="C57" s="71"/>
      <c r="D57" s="71"/>
      <c r="E57" s="71"/>
      <c r="F57" s="75" t="s">
        <v>82</v>
      </c>
      <c r="G57" s="71"/>
      <c r="H57" s="75" t="s">
        <v>83</v>
      </c>
      <c r="I57" s="71"/>
    </row>
    <row r="58" spans="1:9" s="35" customFormat="1" ht="22.5" customHeight="1" x14ac:dyDescent="0.25">
      <c r="A58" s="74" t="s">
        <v>80</v>
      </c>
      <c r="B58" s="74"/>
      <c r="C58" s="74"/>
      <c r="D58" s="74" t="s">
        <v>78</v>
      </c>
      <c r="E58" s="74"/>
      <c r="F58" s="71"/>
      <c r="G58" s="71"/>
      <c r="H58" s="71"/>
      <c r="I58" s="71"/>
    </row>
    <row r="59" spans="1:9" s="35" customFormat="1" ht="22.5" customHeight="1" x14ac:dyDescent="0.25">
      <c r="A59" s="74"/>
      <c r="B59" s="74"/>
      <c r="C59" s="74"/>
      <c r="D59" s="74"/>
      <c r="E59" s="74"/>
      <c r="F59" s="71"/>
      <c r="G59" s="71"/>
      <c r="H59" s="71"/>
      <c r="I59" s="71"/>
    </row>
    <row r="60" spans="1:9" s="35" customFormat="1" ht="22.5" customHeight="1" x14ac:dyDescent="0.25">
      <c r="A60" s="70">
        <v>209.6</v>
      </c>
      <c r="B60" s="70"/>
      <c r="C60" s="70"/>
      <c r="D60" s="70">
        <v>201.8</v>
      </c>
      <c r="E60" s="70"/>
      <c r="F60" s="70">
        <v>205.7</v>
      </c>
      <c r="G60" s="70"/>
      <c r="H60" s="70" t="s">
        <v>84</v>
      </c>
      <c r="I60" s="70"/>
    </row>
    <row r="61" spans="1:9" s="35" customFormat="1" ht="22.5" customHeight="1" x14ac:dyDescent="0.25">
      <c r="A61" s="40"/>
      <c r="B61" s="40"/>
      <c r="C61" s="40"/>
      <c r="D61" s="40"/>
      <c r="E61" s="40"/>
      <c r="F61" s="40"/>
      <c r="G61" s="40"/>
      <c r="H61" s="40"/>
      <c r="I61" s="40"/>
    </row>
    <row r="62" spans="1:9" s="35" customFormat="1" ht="22.5" customHeight="1" x14ac:dyDescent="0.25">
      <c r="A62" s="84" t="s">
        <v>85</v>
      </c>
      <c r="B62" s="84"/>
      <c r="C62" s="84"/>
      <c r="D62" s="84"/>
      <c r="E62" s="84"/>
      <c r="F62" s="84"/>
      <c r="G62" s="84"/>
      <c r="H62" s="84"/>
      <c r="I62" s="84"/>
    </row>
    <row r="63" spans="1:9" s="35" customFormat="1" ht="22.5" customHeight="1" x14ac:dyDescent="0.25">
      <c r="A63" s="71" t="s">
        <v>91</v>
      </c>
      <c r="B63" s="71"/>
      <c r="C63" s="71"/>
      <c r="D63" s="71"/>
      <c r="E63" s="71"/>
      <c r="F63" s="75" t="s">
        <v>89</v>
      </c>
      <c r="G63" s="71"/>
      <c r="H63" s="75" t="s">
        <v>90</v>
      </c>
      <c r="I63" s="71"/>
    </row>
    <row r="64" spans="1:9" s="35" customFormat="1" ht="22.5" customHeight="1" x14ac:dyDescent="0.25">
      <c r="A64" s="71"/>
      <c r="B64" s="71"/>
      <c r="C64" s="71"/>
      <c r="D64" s="71"/>
      <c r="E64" s="71"/>
      <c r="F64" s="71"/>
      <c r="G64" s="71"/>
      <c r="H64" s="71"/>
      <c r="I64" s="71"/>
    </row>
    <row r="65" spans="1:9" s="35" customFormat="1" ht="22.5" customHeight="1" x14ac:dyDescent="0.25">
      <c r="A65" s="70" t="s">
        <v>86</v>
      </c>
      <c r="B65" s="70"/>
      <c r="C65" s="70" t="s">
        <v>87</v>
      </c>
      <c r="D65" s="70"/>
      <c r="E65" s="3" t="s">
        <v>88</v>
      </c>
      <c r="F65" s="71"/>
      <c r="G65" s="71"/>
      <c r="H65" s="71"/>
      <c r="I65" s="71"/>
    </row>
    <row r="66" spans="1:9" s="35" customFormat="1" ht="22.5" customHeight="1" x14ac:dyDescent="0.25">
      <c r="A66" s="72">
        <v>0.34</v>
      </c>
      <c r="B66" s="73"/>
      <c r="C66" s="72">
        <v>0.35</v>
      </c>
      <c r="D66" s="73"/>
      <c r="E66" s="3">
        <v>0.32</v>
      </c>
      <c r="F66" s="70">
        <v>0.337</v>
      </c>
      <c r="G66" s="70"/>
      <c r="H66" s="70" t="s">
        <v>92</v>
      </c>
      <c r="I66" s="70"/>
    </row>
    <row r="67" spans="1:9" s="35" customFormat="1" ht="18.600000000000001" customHeight="1" x14ac:dyDescent="0.25">
      <c r="A67" s="40"/>
      <c r="B67" s="40"/>
      <c r="C67" s="40"/>
      <c r="D67" s="40"/>
      <c r="E67" s="40"/>
      <c r="F67" s="40"/>
      <c r="G67" s="40"/>
      <c r="H67" s="40"/>
      <c r="I67" s="40"/>
    </row>
    <row r="68" spans="1:9" ht="18.600000000000001" customHeight="1" x14ac:dyDescent="0.25">
      <c r="A68" s="8" t="s">
        <v>103</v>
      </c>
      <c r="B68" s="7"/>
      <c r="C68" s="7"/>
      <c r="D68" s="7"/>
      <c r="E68" s="7"/>
      <c r="F68" s="7"/>
      <c r="G68" s="7"/>
      <c r="H68" s="7"/>
      <c r="I68" s="7"/>
    </row>
    <row r="69" spans="1:9" ht="18.600000000000001" customHeight="1" x14ac:dyDescent="0.3">
      <c r="A69" s="7"/>
      <c r="B69" s="10" t="inlineStr">
        <is>
          <t xml:space="preserve"> Đạt</t>
        </is>
      </c>
      <c r="C69" s="7"/>
      <c r="D69" s="7"/>
      <c r="E69" s="7"/>
      <c r="F69" s="7"/>
      <c r="G69" s="7"/>
      <c r="H69" s="7"/>
      <c r="I69" s="7"/>
    </row>
    <row r="70" spans="1:9" ht="18.600000000000001" customHeight="1" x14ac:dyDescent="0.3">
      <c r="A70" s="7"/>
      <c r="B70" s="10" t="inlineStr">
        <is>
          <t xml:space="preserve"> Không đạt</t>
        </is>
      </c>
      <c r="C70" s="7"/>
      <c r="D70" s="7"/>
      <c r="E70" s="7"/>
      <c r="F70" s="7"/>
      <c r="G70" s="7"/>
      <c r="H70" s="7"/>
      <c r="I70" s="7"/>
    </row>
    <row r="71" spans="1:9" ht="18.600000000000001" customHeight="1" x14ac:dyDescent="0.25">
      <c r="A71" s="7"/>
      <c r="B71" s="7"/>
      <c r="C71" s="7"/>
      <c r="D71" s="7"/>
      <c r="E71" s="7"/>
      <c r="F71" s="7"/>
      <c r="G71" s="7"/>
      <c r="H71" s="7"/>
      <c r="I71" s="7"/>
    </row>
    <row r="72" spans="1:9" ht="18.600000000000001" customHeight="1" x14ac:dyDescent="0.25">
      <c r="A72" s="7"/>
      <c r="B72" s="7"/>
      <c r="C72" s="7"/>
      <c r="D72" s="7"/>
      <c r="E72" s="7"/>
      <c r="F72" s="7"/>
      <c r="G72" s="7"/>
      <c r="H72" s="7"/>
      <c r="I72" s="7"/>
    </row>
    <row r="73" spans="1:9" ht="18.600000000000001" customHeight="1" x14ac:dyDescent="0.25">
      <c r="A73" s="7"/>
      <c r="B73" s="7"/>
      <c r="C73" s="7"/>
      <c r="D73" s="7"/>
      <c r="E73" s="7"/>
      <c r="F73" s="7"/>
      <c r="G73" s="7"/>
      <c r="H73" s="7"/>
      <c r="I73" s="7"/>
    </row>
    <row r="74" spans="1:9" ht="18.600000000000001" customHeight="1" x14ac:dyDescent="0.25">
      <c r="A74" s="7"/>
      <c r="B74" s="7"/>
      <c r="C74" s="7"/>
      <c r="D74" s="7"/>
      <c r="E74" s="7"/>
      <c r="F74" s="7"/>
      <c r="G74" s="7"/>
      <c r="H74" s="7"/>
      <c r="I74" s="7"/>
    </row>
    <row r="75" spans="1:9" ht="18.600000000000001" customHeight="1" x14ac:dyDescent="0.25">
      <c r="A75" s="7"/>
      <c r="B75" s="7"/>
      <c r="C75" s="7"/>
      <c r="D75" s="7"/>
      <c r="E75" s="7"/>
      <c r="F75" s="7"/>
      <c r="G75" s="7"/>
      <c r="H75" s="7"/>
      <c r="I75" s="7"/>
    </row>
    <row r="76" spans="1:9" ht="18.600000000000001" customHeight="1" x14ac:dyDescent="0.25">
      <c r="A76" s="9" t="s">
        <v>143</v>
      </c>
      <c r="B76" s="7"/>
      <c r="C76" s="7"/>
      <c r="D76" s="7"/>
      <c r="E76" s="7"/>
      <c r="F76" s="7"/>
      <c r="G76" s="7"/>
      <c r="H76" s="7"/>
      <c r="I76" s="7"/>
    </row>
    <row r="77" spans="1:9" ht="18.600000000000001" customHeight="1" x14ac:dyDescent="0.25">
      <c r="A77" s="7"/>
      <c r="B77" s="7"/>
      <c r="C77" s="7"/>
      <c r="D77" s="7"/>
      <c r="E77" s="7"/>
      <c r="F77" s="7"/>
      <c r="G77" s="7"/>
      <c r="H77" s="7"/>
      <c r="I77" s="7"/>
    </row>
    <row r="78" spans="1:9" ht="18.600000000000001" customHeight="1" x14ac:dyDescent="0.25">
      <c r="A78" s="7"/>
      <c r="B78" s="7"/>
      <c r="C78" s="7"/>
      <c r="D78" s="7"/>
      <c r="E78" s="7"/>
      <c r="F78" s="7"/>
      <c r="G78" s="7"/>
      <c r="H78" s="7"/>
      <c r="I78" s="7"/>
    </row>
    <row r="79" spans="1:9" ht="18.600000000000001" customHeight="1" x14ac:dyDescent="0.25">
      <c r="A79" s="7"/>
      <c r="B79" s="7"/>
      <c r="C79" s="7"/>
      <c r="D79" s="7"/>
      <c r="E79" s="7"/>
      <c r="F79" s="7"/>
      <c r="G79" s="7"/>
      <c r="H79" s="7"/>
      <c r="I79" s="7"/>
    </row>
    <row r="80" spans="1:9" ht="18.600000000000001" customHeight="1" x14ac:dyDescent="0.25">
      <c r="A80" s="7"/>
      <c r="B80" s="7"/>
      <c r="C80" s="7"/>
      <c r="D80" s="7"/>
      <c r="E80" s="7"/>
      <c r="F80" s="7"/>
      <c r="G80" s="7"/>
      <c r="H80" s="7"/>
      <c r="I80" s="7"/>
    </row>
    <row r="81" spans="1:9" ht="18.600000000000001" customHeight="1" x14ac:dyDescent="0.25">
      <c r="A81" s="7"/>
      <c r="B81" s="7"/>
      <c r="C81" s="7"/>
      <c r="D81" s="7"/>
      <c r="E81" s="7"/>
      <c r="F81" s="7"/>
      <c r="G81" s="7"/>
      <c r="H81" s="7"/>
      <c r="I81" s="7"/>
    </row>
    <row r="82" spans="1:9" ht="18.600000000000001" customHeight="1" x14ac:dyDescent="0.25">
      <c r="A82" s="7"/>
      <c r="B82" s="7"/>
      <c r="C82" s="7"/>
      <c r="D82" s="7"/>
      <c r="E82" s="7"/>
      <c r="F82" s="7"/>
      <c r="G82" s="7"/>
      <c r="H82" s="7"/>
      <c r="I82" s="7"/>
    </row>
    <row r="83" spans="1:9" ht="18.600000000000001" customHeight="1" x14ac:dyDescent="0.25">
      <c r="A83" s="7"/>
      <c r="B83" s="7"/>
      <c r="C83" s="7"/>
      <c r="D83" s="7"/>
      <c r="E83" s="7"/>
      <c r="F83" s="7"/>
      <c r="G83" s="7"/>
      <c r="H83" s="7"/>
      <c r="I83" s="7"/>
    </row>
    <row r="84" spans="1:9" ht="18.600000000000001" customHeight="1" x14ac:dyDescent="0.25">
      <c r="A84" s="7"/>
      <c r="B84" s="7"/>
      <c r="C84" s="7"/>
      <c r="D84" s="7"/>
      <c r="E84" s="7"/>
      <c r="F84" s="7"/>
      <c r="G84" s="7"/>
      <c r="H84" s="7"/>
      <c r="I84" s="7"/>
    </row>
  </sheetData>
  <mergeCells count="61">
    <mergeCell ref="J3:O3"/>
    <mergeCell ref="J1:O1"/>
    <mergeCell ref="D22:G22"/>
    <mergeCell ref="A1:D1"/>
    <mergeCell ref="E1:I1"/>
    <mergeCell ref="A2:D2"/>
    <mergeCell ref="A3:D3"/>
    <mergeCell ref="E3:I3"/>
    <mergeCell ref="D5:G5"/>
    <mergeCell ref="E6:F6"/>
    <mergeCell ref="M4:M6"/>
    <mergeCell ref="E20:F20"/>
    <mergeCell ref="A43:I43"/>
    <mergeCell ref="L4:L6"/>
    <mergeCell ref="K4:K6"/>
    <mergeCell ref="J4:J6"/>
    <mergeCell ref="N4:O5"/>
    <mergeCell ref="E2:I2"/>
    <mergeCell ref="F40:I40"/>
    <mergeCell ref="F35:I35"/>
    <mergeCell ref="B40:E40"/>
    <mergeCell ref="B35:E35"/>
    <mergeCell ref="A60:C60"/>
    <mergeCell ref="D60:E60"/>
    <mergeCell ref="F60:G60"/>
    <mergeCell ref="H60:I60"/>
    <mergeCell ref="A62:I62"/>
    <mergeCell ref="A45:I45"/>
    <mergeCell ref="H46:I46"/>
    <mergeCell ref="F46:G46"/>
    <mergeCell ref="A46:E46"/>
    <mergeCell ref="A48:E49"/>
    <mergeCell ref="F48:G49"/>
    <mergeCell ref="H48:I49"/>
    <mergeCell ref="A47:I47"/>
    <mergeCell ref="A50:I50"/>
    <mergeCell ref="H51:I51"/>
    <mergeCell ref="F51:G51"/>
    <mergeCell ref="F53:G53"/>
    <mergeCell ref="F52:G52"/>
    <mergeCell ref="H53:I53"/>
    <mergeCell ref="H52:I52"/>
    <mergeCell ref="A52:E52"/>
    <mergeCell ref="A53:E53"/>
    <mergeCell ref="H54:I54"/>
    <mergeCell ref="F54:G54"/>
    <mergeCell ref="A58:C59"/>
    <mergeCell ref="D58:E59"/>
    <mergeCell ref="F57:G59"/>
    <mergeCell ref="H57:I59"/>
    <mergeCell ref="A57:E57"/>
    <mergeCell ref="A56:I56"/>
    <mergeCell ref="C65:D65"/>
    <mergeCell ref="A63:E64"/>
    <mergeCell ref="H66:I66"/>
    <mergeCell ref="F66:G66"/>
    <mergeCell ref="C66:D66"/>
    <mergeCell ref="A66:B66"/>
    <mergeCell ref="F63:G65"/>
    <mergeCell ref="H63:I65"/>
    <mergeCell ref="A65:B65"/>
  </mergeCells>
  <pageMargins left="0.98425196850393704" right="0.59055118110236227" top="0.78740157480314965" bottom="0.39370078740157483" header="0" footer="0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2318-017A-4E87-966B-9E0781F15E7F}">
  <sheetPr>
    <tabColor rgb="FFC00000"/>
  </sheetPr>
  <dimension ref="A1:N35"/>
  <sheetViews>
    <sheetView view="pageLayout" topLeftCell="A8" zoomScale="85" zoomScaleNormal="75" zoomScalePageLayoutView="85" workbookViewId="0">
      <selection activeCell="G10" sqref="G10"/>
    </sheetView>
  </sheetViews>
  <sheetFormatPr defaultColWidth="9" defaultRowHeight="18.600000000000001" customHeight="1" x14ac:dyDescent="0.25"/>
  <cols>
    <col min="1" max="1" width="5.42578125" style="7" customWidth="1"/>
    <col min="2" max="2" width="13.140625" style="28" customWidth="1"/>
    <col min="3" max="3" width="19.7109375" style="28" customWidth="1"/>
    <col min="4" max="4" width="14.42578125" style="28" customWidth="1"/>
    <col min="5" max="5" width="12.42578125" style="28" customWidth="1"/>
    <col min="6" max="6" width="17.5703125" style="28" customWidth="1"/>
    <col min="7" max="7" width="13.140625" style="28" customWidth="1"/>
    <col min="8" max="8" width="14.42578125" style="28" customWidth="1"/>
    <col min="9" max="9" width="15.42578125" style="28" customWidth="1"/>
    <col min="10" max="10" width="16.42578125" style="7" customWidth="1"/>
    <col min="11" max="12" width="9" style="1"/>
    <col min="13" max="13" width="15.28515625" style="1" bestFit="1" customWidth="1"/>
    <col min="14" max="16384" width="9" style="1"/>
  </cols>
  <sheetData>
    <row r="1" spans="1:14" ht="18.600000000000001" customHeight="1" x14ac:dyDescent="0.25">
      <c r="A1" s="93" t="s">
        <v>125</v>
      </c>
      <c r="B1" s="93"/>
      <c r="C1" s="93"/>
      <c r="D1" s="93"/>
      <c r="E1" s="93"/>
      <c r="F1" s="93"/>
      <c r="G1" s="93"/>
      <c r="H1" s="93"/>
      <c r="I1" s="93"/>
    </row>
    <row r="2" spans="1:14" ht="18.600000000000001" customHeight="1" x14ac:dyDescent="0.25">
      <c r="A2" s="8" t="s">
        <v>129</v>
      </c>
    </row>
    <row r="3" spans="1:14" ht="18.600000000000001" customHeight="1" x14ac:dyDescent="0.25">
      <c r="A3" s="93" t="s">
        <v>60</v>
      </c>
      <c r="B3" s="93"/>
      <c r="C3" s="93"/>
      <c r="D3" s="93"/>
      <c r="E3" s="93"/>
      <c r="F3" s="93"/>
      <c r="G3" s="93"/>
      <c r="H3" s="93"/>
      <c r="I3" s="24"/>
    </row>
    <row r="4" spans="1:14" ht="18.600000000000001" customHeight="1" x14ac:dyDescent="0.25">
      <c r="A4" s="74" t="s">
        <v>3</v>
      </c>
      <c r="B4" s="74" t="inlineStr">
        <is>
          <t xml:space="preserve">Áp suất danh nghĩa,
(bar)</t>
        </is>
      </c>
      <c r="C4" s="74" t="s">
        <v>104</v>
      </c>
      <c r="D4" s="74"/>
      <c r="E4" s="74"/>
      <c r="F4" s="74"/>
      <c r="G4" s="74" t="s">
        <v>126</v>
      </c>
      <c r="H4" s="74" t="s">
        <v>106</v>
      </c>
      <c r="I4" s="74" t="s">
        <v>107</v>
      </c>
    </row>
    <row r="5" spans="1:14" ht="36" customHeight="1" x14ac:dyDescent="0.25">
      <c r="A5" s="74"/>
      <c r="B5" s="74"/>
      <c r="C5" s="25" t="s">
        <v>117</v>
      </c>
      <c r="D5" s="25" t="s">
        <v>109</v>
      </c>
      <c r="E5" s="25" t="s">
        <v>105</v>
      </c>
      <c r="F5" s="25" t="s">
        <v>110</v>
      </c>
      <c r="G5" s="74"/>
      <c r="H5" s="74"/>
      <c r="I5" s="74"/>
      <c r="N5" s="50">
        <v>1.7476201785714287e-05</v>
      </c>
    </row>
    <row r="6" spans="1:14" ht="18.600000000000001" customHeight="1" x14ac:dyDescent="0.25">
      <c r="A6" s="13">
        <v>1</v>
      </c>
      <c r="B6" s="46">
        <v>28.0</v>
      </c>
      <c r="C6" s="47" t="inlineStr">
        <is>
          <t xml:space="preserve">9,12,16,17</t>
        </is>
      </c>
      <c r="D6" s="49">
        <v>4999.965</v>
      </c>
      <c r="E6" s="22">
        <v>0.035</v>
      </c>
      <c r="F6" s="49" t="n">
        <f>D6+E6</f>
        <v>5000</v>
      </c>
      <c r="G6" s="51">
        <v>1006.69</v>
      </c>
      <c r="H6" s="46">
        <v>59.7</v>
      </c>
      <c r="I6" s="46">
        <v>19.2</v>
      </c>
      <c r="M6" s="21" t="e">
        <f>B6*#REF!</f>
        <v>#NAME?</v>
      </c>
      <c r="N6" s="50" t="n">
        <f>$N$5*D6/'Tính toán'!$D$3</f>
        <v>1083.96399615328</v>
      </c>
    </row>
    <row r="7" spans="1:14" ht="18.600000000000001" customHeight="1" x14ac:dyDescent="0.25">
      <c r="A7" s="13">
        <v>2</v>
      </c>
      <c r="B7" s="46">
        <v>56.0</v>
      </c>
      <c r="C7" s="47" t="inlineStr">
        <is>
          <t xml:space="preserve">10,12,14,16</t>
        </is>
      </c>
      <c r="D7" s="49">
        <v>9999.953</v>
      </c>
      <c r="E7" s="22">
        <v>0.047</v>
      </c>
      <c r="F7" s="49" t="n">
        <f t="shared" ref="F7:F15" si="0">D7+E7</f>
        <v>10000</v>
      </c>
      <c r="G7" s="51">
        <v>1011.4</v>
      </c>
      <c r="H7" s="46">
        <v>62.4</v>
      </c>
      <c r="I7" s="46">
        <v>19.9</v>
      </c>
      <c r="M7" s="21" t="e">
        <f>B7*#REF!</f>
        <v>#NAME?</v>
      </c>
      <c r="N7" s="1" t="n">
        <f>$N$5*D7/'Tính toán'!$D$3</f>
        <v>2167.93297857585</v>
      </c>
    </row>
    <row r="8" spans="1:14" ht="18.600000000000001" customHeight="1" x14ac:dyDescent="0.25">
      <c r="A8" s="13">
        <v>3</v>
      </c>
      <c r="B8" s="46">
        <v>84.0</v>
      </c>
      <c r="C8" s="47" t="inlineStr">
        <is>
          <t xml:space="preserve">4,6,11,14</t>
        </is>
      </c>
      <c r="D8" s="49">
        <v>14999.963</v>
      </c>
      <c r="E8" s="22">
        <v>0.037</v>
      </c>
      <c r="F8" s="49" t="n">
        <f t="shared" si="0"/>
        <v>15000</v>
      </c>
      <c r="G8" s="51">
        <v>1013.83</v>
      </c>
      <c r="H8" s="46">
        <v>57.9</v>
      </c>
      <c r="I8" s="46">
        <v>20.1</v>
      </c>
      <c r="M8" s="21" t="e">
        <f>B8*#REF!</f>
        <v>#NAME?</v>
      </c>
      <c r="N8" s="1" t="n">
        <f>$N$5*D8/'Tính toán'!$D$3</f>
        <v>3251.9067304734</v>
      </c>
    </row>
    <row r="9" spans="1:14" ht="18.600000000000001" customHeight="1" x14ac:dyDescent="0.25">
      <c r="A9" s="13">
        <v>4</v>
      </c>
      <c r="B9" s="46">
        <v>112.0</v>
      </c>
      <c r="C9" s="47" t="inlineStr">
        <is>
          <t xml:space="preserve">4,9,14</t>
        </is>
      </c>
      <c r="D9" s="49">
        <v>19999.957</v>
      </c>
      <c r="E9" s="22">
        <v>0.043</v>
      </c>
      <c r="F9" s="49" t="n">
        <f t="shared" si="0"/>
        <v>20000</v>
      </c>
      <c r="G9" s="51">
        <v>1009.33</v>
      </c>
      <c r="H9" s="46">
        <v>57.6</v>
      </c>
      <c r="I9" s="46">
        <v>20.0</v>
      </c>
      <c r="M9" s="21" t="e">
        <f>B9*#REF!</f>
        <v>#NAME?</v>
      </c>
      <c r="N9" s="1" t="n">
        <f>$N$5*D9/'Tính toán'!$D$3</f>
        <v>4335.87701366187</v>
      </c>
    </row>
    <row r="10" spans="1:14" ht="18.600000000000001" customHeight="1" x14ac:dyDescent="0.25">
      <c r="A10" s="13">
        <v>5</v>
      </c>
      <c r="B10" s="46">
        <v>140.0</v>
      </c>
      <c r="C10" s="47" t="inlineStr">
        <is>
          <t xml:space="preserve">3,10,12</t>
        </is>
      </c>
      <c r="D10" s="49">
        <v>24999.952</v>
      </c>
      <c r="E10" s="22">
        <v>0.048</v>
      </c>
      <c r="F10" s="49" t="n">
        <f t="shared" si="0"/>
        <v>25000</v>
      </c>
      <c r="G10" s="51">
        <v>1010.63</v>
      </c>
      <c r="H10" s="46">
        <v>61.6</v>
      </c>
      <c r="I10" s="46">
        <v>20.7</v>
      </c>
      <c r="M10" s="21" t="e">
        <f>B10*#REF!</f>
        <v>#NAME?</v>
      </c>
      <c r="N10" s="1" t="n">
        <f>$N$5*D10/'Tính toán'!$D$3</f>
        <v>5419.84751364465</v>
      </c>
    </row>
    <row r="11" spans="1:14" ht="18.600000000000001" customHeight="1" x14ac:dyDescent="0.25">
      <c r="A11" s="13">
        <v>6</v>
      </c>
      <c r="B11" s="46">
        <v>168.0</v>
      </c>
      <c r="C11" s="47" t="inlineStr">
        <is>
          <t xml:space="preserve">4,7,8,17</t>
        </is>
      </c>
      <c r="D11" s="49">
        <v>29999.971</v>
      </c>
      <c r="E11" s="22">
        <v>0.029</v>
      </c>
      <c r="F11" s="49" t="n">
        <f t="shared" si="0"/>
        <v>30000</v>
      </c>
      <c r="G11" s="51">
        <v>1013.55</v>
      </c>
      <c r="H11" s="46">
        <v>63.5</v>
      </c>
      <c r="I11" s="46">
        <v>19.3</v>
      </c>
      <c r="M11" s="21" t="e">
        <f>B11*#REF!</f>
        <v>#NAME?</v>
      </c>
      <c r="N11" s="1" t="n">
        <f>$N$5*D11/'Tính toán'!$D$4</f>
        <v>130066.299362074</v>
      </c>
    </row>
    <row r="12" spans="1:14" ht="18.600000000000001" customHeight="1" x14ac:dyDescent="0.25">
      <c r="A12" s="13">
        <v>7</v>
      </c>
      <c r="B12" s="46">
        <v>196.0</v>
      </c>
      <c r="C12" s="47" t="inlineStr">
        <is>
          <t xml:space="preserve">1,12,16</t>
        </is>
      </c>
      <c r="D12" s="49">
        <v>34999.965</v>
      </c>
      <c r="E12" s="22">
        <v>0.035</v>
      </c>
      <c r="F12" s="49" t="n">
        <f t="shared" si="0"/>
        <v>35000</v>
      </c>
      <c r="G12" s="51">
        <v>1005.23</v>
      </c>
      <c r="H12" s="46">
        <v>64.5</v>
      </c>
      <c r="I12" s="46">
        <v>20.1</v>
      </c>
    </row>
    <row r="13" spans="1:14" s="32" customFormat="1" ht="22.5" customHeight="1" x14ac:dyDescent="0.25">
      <c r="A13" s="13">
        <v>8</v>
      </c>
      <c r="B13" s="46">
        <v>224.0</v>
      </c>
      <c r="C13" s="47" t="inlineStr">
        <is>
          <t xml:space="preserve">6,10,16,17</t>
        </is>
      </c>
      <c r="D13" s="49">
        <v>39999.974</v>
      </c>
      <c r="E13" s="22">
        <v>0.026</v>
      </c>
      <c r="F13" s="49" t="n">
        <f t="shared" si="0"/>
        <v>40000</v>
      </c>
      <c r="G13" s="51">
        <v>1008.15</v>
      </c>
      <c r="H13" s="46">
        <v>63.8</v>
      </c>
      <c r="I13" s="60">
        <v>20.6</v>
      </c>
      <c r="J13" s="40"/>
    </row>
    <row r="14" spans="1:14" s="34" customFormat="1" ht="22.5" customHeight="1" x14ac:dyDescent="0.25">
      <c r="A14" s="13">
        <v>9</v>
      </c>
      <c r="B14" s="46">
        <v>252.0</v>
      </c>
      <c r="C14" s="47" t="inlineStr">
        <is>
          <t xml:space="preserve">2,8,13,15</t>
        </is>
      </c>
      <c r="D14" s="49">
        <v>44999.996</v>
      </c>
      <c r="E14" s="22">
        <v>0.004</v>
      </c>
      <c r="F14" s="49" t="n">
        <f t="shared" si="0"/>
        <v>45000</v>
      </c>
      <c r="G14" s="51">
        <v>1015.7</v>
      </c>
      <c r="H14" s="46">
        <v>62.8</v>
      </c>
      <c r="I14" s="60">
        <v>19.7</v>
      </c>
      <c r="J14" s="40"/>
    </row>
    <row r="15" spans="1:14" s="35" customFormat="1" ht="22.5" customHeight="1" x14ac:dyDescent="0.25">
      <c r="A15" s="52">
        <v>10</v>
      </c>
      <c r="B15" s="53">
        <v>280.0</v>
      </c>
      <c r="C15" s="47" t="inlineStr">
        <is>
          <t xml:space="preserve">7,14,15</t>
        </is>
      </c>
      <c r="D15" s="49">
        <v>49999.96</v>
      </c>
      <c r="E15" s="22">
        <v>0.04</v>
      </c>
      <c r="F15" s="49" t="n">
        <f t="shared" si="0"/>
        <v>50000</v>
      </c>
      <c r="G15" s="51">
        <v>1014.01</v>
      </c>
      <c r="H15" s="46">
        <v>58.7</v>
      </c>
      <c r="I15" s="60">
        <v>19.8</v>
      </c>
      <c r="J15" s="40"/>
    </row>
    <row r="16" spans="1:14" s="35" customFormat="1" ht="39" customHeight="1" x14ac:dyDescent="0.35">
      <c r="A16" s="54" t="s">
        <v>127</v>
      </c>
      <c r="B16" s="29"/>
      <c r="C16" s="31"/>
      <c r="D16" s="30" t="inlineStr">
        <is>
          <t xml:space="preserve">A0 = 0,17476 × 10-4 , m2</t>
        </is>
      </c>
      <c r="E16" s="31"/>
      <c r="F16" s="31"/>
      <c r="G16" s="31"/>
      <c r="H16" s="31"/>
      <c r="I16" s="31"/>
      <c r="J16" s="40"/>
    </row>
    <row r="17" spans="1:10" s="35" customFormat="1" ht="22.5" customHeight="1" x14ac:dyDescent="0.25">
      <c r="A17" s="8" t="s">
        <v>130</v>
      </c>
      <c r="B17" s="31"/>
      <c r="C17" s="31"/>
      <c r="D17" s="31"/>
      <c r="E17" s="31"/>
      <c r="F17" s="31"/>
      <c r="G17" s="31"/>
      <c r="H17" s="31"/>
      <c r="I17" s="31"/>
      <c r="J17" s="40"/>
    </row>
    <row r="18" spans="1:10" ht="23.25" customHeight="1" x14ac:dyDescent="0.35">
      <c r="A18" s="7" t="s">
        <v>131</v>
      </c>
      <c r="C18" s="56" t="s">
        <v>138</v>
      </c>
      <c r="D18" s="55" t="inlineStr">
        <is>
          <t xml:space="preserve">88,200 × 10-3 (bar) </t>
        </is>
      </c>
      <c r="F18" s="31" t="inlineStr">
        <is>
          <t xml:space="preserve">tại p = 196,0 bar</t>
        </is>
      </c>
    </row>
    <row r="19" spans="1:10" s="35" customFormat="1" ht="22.5" customHeight="1" x14ac:dyDescent="0.25">
      <c r="A19" s="40"/>
      <c r="B19" s="31"/>
      <c r="C19" s="57" t="s">
        <v>132</v>
      </c>
      <c r="D19" s="55" t="inlineStr">
        <is>
          <t xml:space="preserve">176,400 × 10-3 (bar) </t>
        </is>
      </c>
      <c r="F19" s="31" t="s">
        <v>133</v>
      </c>
      <c r="G19" s="31"/>
      <c r="H19" s="31"/>
      <c r="I19" s="31"/>
      <c r="J19" s="40"/>
    </row>
    <row r="20" spans="1:10" s="35" customFormat="1" ht="22.5" customHeight="1" x14ac:dyDescent="0.25">
      <c r="A20" s="40"/>
      <c r="B20" s="31"/>
      <c r="C20" s="57" t="s">
        <v>136</v>
      </c>
      <c r="D20" s="31">
        <v>0.0</v>
      </c>
      <c r="E20" s="31"/>
      <c r="F20" s="31"/>
      <c r="G20" s="31"/>
      <c r="H20" s="31"/>
      <c r="I20" s="31"/>
      <c r="J20" s="40"/>
    </row>
    <row r="21" spans="1:10" s="35" customFormat="1" ht="22.5" customHeight="1" x14ac:dyDescent="0.25">
      <c r="A21" s="40" t="s">
        <v>134</v>
      </c>
      <c r="B21" s="31"/>
      <c r="C21" s="57" t="s">
        <v>135</v>
      </c>
      <c r="D21" s="58">
        <v>0.00045</v>
      </c>
      <c r="E21" s="31"/>
      <c r="F21" s="31"/>
      <c r="G21" s="31"/>
      <c r="H21" s="31"/>
      <c r="I21" s="31"/>
      <c r="J21" s="40"/>
    </row>
    <row r="22" spans="1:10" s="35" customFormat="1" ht="22.5" customHeight="1" x14ac:dyDescent="0.25">
      <c r="A22" s="40"/>
      <c r="B22" s="31"/>
      <c r="C22" s="31"/>
      <c r="D22" s="31"/>
      <c r="E22" s="31"/>
      <c r="F22" s="31"/>
      <c r="G22" s="31"/>
      <c r="H22" s="31"/>
      <c r="I22" s="31"/>
      <c r="J22" s="40"/>
    </row>
    <row r="23" spans="1:10" s="35" customFormat="1" ht="22.5" customHeight="1" x14ac:dyDescent="0.25">
      <c r="A23" s="59" t="inlineStr">
        <is>
          <t xml:space="preserve">4. Kết luận: Đạt yêu cầu kỹ thuật đo lường</t>
        </is>
      </c>
      <c r="B23" s="31"/>
      <c r="C23" s="31"/>
      <c r="D23" s="31"/>
      <c r="E23" s="31"/>
      <c r="F23" s="31"/>
      <c r="G23" s="31"/>
      <c r="H23" s="31"/>
      <c r="I23" s="31"/>
      <c r="J23" s="40"/>
    </row>
    <row r="24" spans="1:10" s="35" customFormat="1" ht="22.5" customHeight="1" x14ac:dyDescent="0.25">
      <c r="A24" s="69" t="s">
        <v>145</v>
      </c>
      <c r="B24" s="31"/>
      <c r="C24" s="31"/>
      <c r="D24" s="31"/>
      <c r="E24" s="31"/>
      <c r="F24" s="31"/>
      <c r="G24" s="31"/>
      <c r="H24" s="31"/>
      <c r="I24" s="31"/>
      <c r="J24" s="40"/>
    </row>
    <row r="25" spans="1:10" s="35" customFormat="1" ht="22.5" customHeight="1" x14ac:dyDescent="0.25">
      <c r="A25" s="40"/>
      <c r="B25" s="31"/>
      <c r="C25" s="31"/>
      <c r="D25" s="31"/>
      <c r="E25" s="31"/>
      <c r="F25" s="31"/>
      <c r="G25" s="31"/>
      <c r="H25" s="31"/>
      <c r="I25" s="31"/>
      <c r="J25" s="40"/>
    </row>
    <row r="26" spans="1:10" s="35" customFormat="1" ht="22.5" customHeight="1" x14ac:dyDescent="0.25">
      <c r="A26" s="40"/>
      <c r="B26" s="31"/>
      <c r="C26" s="31"/>
      <c r="D26" s="31"/>
      <c r="E26" s="31"/>
      <c r="F26" s="31"/>
      <c r="G26" s="31"/>
      <c r="H26" s="31"/>
      <c r="I26" s="31"/>
      <c r="J26" s="40"/>
    </row>
    <row r="27" spans="1:10" s="35" customFormat="1" ht="22.5" customHeight="1" x14ac:dyDescent="0.25">
      <c r="A27" s="40"/>
      <c r="B27" s="31"/>
      <c r="C27" s="31"/>
      <c r="D27" s="31"/>
      <c r="E27" s="31"/>
      <c r="F27" s="31"/>
      <c r="G27" s="31"/>
      <c r="H27" s="31"/>
      <c r="I27" s="31"/>
      <c r="J27" s="40"/>
    </row>
    <row r="28" spans="1:10" s="35" customFormat="1" ht="22.5" customHeight="1" x14ac:dyDescent="0.25">
      <c r="A28" s="40"/>
      <c r="B28" s="31"/>
      <c r="C28" s="31"/>
      <c r="D28" s="31"/>
      <c r="E28" s="31"/>
      <c r="F28" s="31"/>
      <c r="G28" s="31"/>
      <c r="H28" s="31"/>
      <c r="I28" s="31"/>
      <c r="J28" s="40"/>
    </row>
    <row r="29" spans="1:10" s="35" customFormat="1" ht="22.5" customHeight="1" x14ac:dyDescent="0.25">
      <c r="A29" s="40"/>
      <c r="B29" s="31"/>
      <c r="C29" s="31"/>
      <c r="D29" s="31"/>
      <c r="E29" s="31"/>
      <c r="F29" s="31"/>
      <c r="G29" s="31"/>
      <c r="H29" s="31"/>
      <c r="I29" s="31"/>
      <c r="J29" s="40"/>
    </row>
    <row r="30" spans="1:10" s="35" customFormat="1" ht="22.5" customHeight="1" x14ac:dyDescent="0.25">
      <c r="A30" s="40"/>
      <c r="B30" s="31"/>
      <c r="C30" s="31"/>
      <c r="D30" s="31"/>
      <c r="E30" s="31"/>
      <c r="F30" s="31"/>
      <c r="G30" s="31"/>
      <c r="H30" s="31"/>
      <c r="I30" s="31"/>
      <c r="J30" s="40"/>
    </row>
    <row r="31" spans="1:10" s="35" customFormat="1" ht="22.5" customHeight="1" x14ac:dyDescent="0.25">
      <c r="A31" s="40"/>
      <c r="B31" s="31"/>
      <c r="C31" s="31"/>
      <c r="D31" s="31"/>
      <c r="E31" s="31"/>
      <c r="F31" s="31"/>
      <c r="G31" s="31"/>
      <c r="H31" s="31"/>
      <c r="I31" s="31"/>
      <c r="J31" s="40"/>
    </row>
    <row r="32" spans="1:10" s="35" customFormat="1" ht="22.5" customHeight="1" x14ac:dyDescent="0.25">
      <c r="A32" s="40"/>
      <c r="B32" s="31"/>
      <c r="C32" s="31"/>
      <c r="D32" s="31"/>
      <c r="E32" s="31"/>
      <c r="F32" s="31"/>
      <c r="G32" s="31"/>
      <c r="H32" s="31"/>
      <c r="I32" s="31"/>
      <c r="J32" s="40"/>
    </row>
    <row r="33" spans="1:10" s="35" customFormat="1" ht="22.5" customHeight="1" x14ac:dyDescent="0.25">
      <c r="A33" s="40"/>
      <c r="B33" s="31"/>
      <c r="C33" s="31"/>
      <c r="D33" s="31"/>
      <c r="E33" s="31"/>
      <c r="F33" s="31"/>
      <c r="G33" s="31"/>
      <c r="H33" s="31"/>
      <c r="I33" s="31"/>
      <c r="J33" s="40"/>
    </row>
    <row r="34" spans="1:10" s="35" customFormat="1" ht="22.5" customHeight="1" x14ac:dyDescent="0.25">
      <c r="A34" s="40"/>
      <c r="B34" s="31"/>
      <c r="C34" s="31"/>
      <c r="D34" s="31"/>
      <c r="E34" s="31"/>
      <c r="F34" s="31"/>
      <c r="G34" s="31"/>
      <c r="H34" s="31"/>
      <c r="I34" s="31"/>
      <c r="J34" s="40"/>
    </row>
    <row r="35" spans="1:10" s="35" customFormat="1" ht="18.600000000000001" customHeight="1" x14ac:dyDescent="0.25">
      <c r="A35" s="40"/>
      <c r="B35" s="31"/>
      <c r="C35" s="31"/>
      <c r="D35" s="31"/>
      <c r="E35" s="31"/>
      <c r="F35" s="31"/>
      <c r="G35" s="31"/>
      <c r="H35" s="31"/>
      <c r="I35" s="31"/>
      <c r="J35" s="40"/>
    </row>
  </sheetData>
  <mergeCells count="8">
    <mergeCell ref="A3:H3"/>
    <mergeCell ref="A1:I1"/>
    <mergeCell ref="B4:B5"/>
    <mergeCell ref="A4:A5"/>
    <mergeCell ref="C4:F4"/>
    <mergeCell ref="I4:I5"/>
    <mergeCell ref="H4:H5"/>
    <mergeCell ref="G4:G5"/>
  </mergeCells>
  <pageMargins left="0.98425196850393704" right="0.59055118110236227" top="0.78740157480314965" bottom="0.39370078740157483" header="0" footer="0"/>
  <pageSetup paperSize="9" orientation="landscape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1"/>
  <sheetViews>
    <sheetView tabSelected="1" zoomScaleNormal="100" workbookViewId="0">
      <selection activeCell="K13" sqref="K13"/>
    </sheetView>
  </sheetViews>
  <sheetFormatPr defaultRowHeight="15" x14ac:dyDescent="0.25"/>
  <cols>
    <col min="4" max="4" width="12" bestFit="1" customWidth="1"/>
    <col min="9" max="9" width="12" bestFit="1" customWidth="1"/>
    <col min="15" max="15" width="10.5703125" bestFit="1" customWidth="1"/>
    <col min="19" max="19" width="14.28515625" customWidth="1"/>
  </cols>
  <sheetData>
    <row r="1" spans="1:21" ht="18.75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1" x14ac:dyDescent="0.25">
      <c r="T2" t="s">
        <v>114</v>
      </c>
      <c r="U2" t="s">
        <v>115</v>
      </c>
    </row>
    <row r="3" spans="1:21" ht="16.5" x14ac:dyDescent="0.25">
      <c r="A3" t="s">
        <v>31</v>
      </c>
      <c r="D3" t="n">
        <f>8.06119*10^(-5)</f>
        <v>8.06119E-005</v>
      </c>
      <c r="H3" t="s">
        <v>111</v>
      </c>
      <c r="I3" s="45">
        <v>1.7476201785714287e-05</v>
      </c>
      <c r="J3" s="45">
        <v>1.7476201785714287e-05</v>
      </c>
      <c r="K3" s="45">
        <v>1.7476201785714287e-05</v>
      </c>
      <c r="L3" s="45">
        <v>1.7476201785714287e-05</v>
      </c>
      <c r="M3" s="45">
        <v>1.7476201785714287e-05</v>
      </c>
      <c r="R3" s="3">
        <v>1</v>
      </c>
      <c r="S3" s="15">
        <v>28.15553</v>
      </c>
      <c r="T3" t="n">
        <f>(S3*0.001*9.786673*0.00001)/1.7476201785714287e-05</f>
        <v>0.157670968</v>
      </c>
      <c r="U3" t="n">
        <f>(S3*0.001*0.0001)/1.7476201785714287e-05</f>
        <v>0.161107833070544</v>
      </c>
    </row>
    <row r="4" spans="1:21" ht="16.5" x14ac:dyDescent="0.25">
      <c r="A4" t="s">
        <v>32</v>
      </c>
      <c r="D4" t="n">
        <f>4.03091*10^(-6)</f>
        <v>4.03091E-006</v>
      </c>
      <c r="H4" t="s">
        <v>112</v>
      </c>
      <c r="I4">
        <v>10</v>
      </c>
      <c r="J4">
        <v>0.9</v>
      </c>
      <c r="K4">
        <v>1.2</v>
      </c>
      <c r="L4">
        <v>2</v>
      </c>
      <c r="M4">
        <v>0.4</v>
      </c>
      <c r="R4" s="3">
        <v>2</v>
      </c>
      <c r="S4" s="15">
        <v>28.15525</v>
      </c>
      <c r="T4" t="n">
        <f t="shared" ref="T4:T20" si="0">(S4*0.001*9.786673*0.00001)/1.7476201785714287e-05</f>
        <v>0.1576694</v>
      </c>
      <c r="U4" t="n">
        <f t="shared" ref="U4:U20" si="1">(S4*0.001*0.0001)/1.7476201785714287e-05</f>
        <v>0.161106230891744</v>
      </c>
    </row>
    <row r="5" spans="1:21" ht="16.5" x14ac:dyDescent="0.25">
      <c r="H5" t="s">
        <v>113</v>
      </c>
      <c r="I5" s="45" t="n">
        <f>(I4*9.786673*0.00001)/I3</f>
        <v>56</v>
      </c>
      <c r="J5" t="n">
        <f t="shared" ref="J5:M5" si="2">(J4*9.786673*0.00001)/J3</f>
        <v>5.04</v>
      </c>
      <c r="K5" t="n">
        <f t="shared" si="2"/>
        <v>6.72</v>
      </c>
      <c r="L5" t="n">
        <f t="shared" si="2"/>
        <v>11.2</v>
      </c>
      <c r="M5" t="n">
        <f t="shared" si="2"/>
        <v>2.24</v>
      </c>
      <c r="N5" t="n">
        <f>SUM(I5:M5)</f>
        <v>81.2</v>
      </c>
      <c r="R5" s="3">
        <v>3</v>
      </c>
      <c r="S5" s="15">
        <v>56.31782</v>
      </c>
      <c r="T5" t="n">
        <f t="shared" si="0"/>
        <v>0.315379792</v>
      </c>
      <c r="U5" t="n">
        <f t="shared" si="1"/>
        <v>0.322254347314966</v>
      </c>
    </row>
    <row r="6" spans="1:21" ht="16.5" x14ac:dyDescent="0.25">
      <c r="R6" s="3">
        <v>4</v>
      </c>
      <c r="S6" s="15">
        <v>56.30882</v>
      </c>
      <c r="T6" t="n">
        <f t="shared" si="0"/>
        <v>0.315329392</v>
      </c>
      <c r="U6" t="n">
        <f t="shared" si="1"/>
        <v>0.322202848710691</v>
      </c>
    </row>
    <row r="7" spans="1:21" ht="16.5" x14ac:dyDescent="0.25">
      <c r="A7" t="s">
        <v>148</v>
      </c>
      <c r="B7">
        <v>9.7866730000000004</v>
      </c>
      <c r="H7" t="s">
        <v>146</v>
      </c>
      <c r="I7" s="48" t="n">
        <f>S21</f>
        <v>322.537789090909</v>
      </c>
      <c r="R7" s="3">
        <v>5</v>
      </c>
      <c r="S7" s="15">
        <v>140.7843</v>
      </c>
      <c r="T7" t="n">
        <f t="shared" si="0"/>
        <v>0.78839208</v>
      </c>
      <c r="U7" t="n">
        <f t="shared" si="1"/>
        <v>0.805577217099212</v>
      </c>
    </row>
    <row r="8" spans="1:21" ht="16.5" x14ac:dyDescent="0.25">
      <c r="H8" t="s">
        <v>149</v>
      </c>
      <c r="I8" t="n">
        <f>(5*B7*100000)/10</f>
        <v>489333.65</v>
      </c>
      <c r="R8" s="3">
        <v>6</v>
      </c>
      <c r="S8" s="15">
        <v>140.79415</v>
      </c>
      <c r="T8" t="n">
        <f t="shared" si="0"/>
        <v>0.78844724</v>
      </c>
      <c r="U8" t="n">
        <f t="shared" si="1"/>
        <v>0.805633579460558</v>
      </c>
    </row>
    <row r="9" spans="1:21" ht="16.5" x14ac:dyDescent="0.25">
      <c r="H9" t="s">
        <v>147</v>
      </c>
      <c r="I9" t="n">
        <f>(0.99985*I7*B7)/I8</f>
        <v>0.00644978816845091</v>
      </c>
      <c r="R9" s="3">
        <v>7</v>
      </c>
      <c r="S9" s="15">
        <v>281.54889</v>
      </c>
      <c r="T9" t="n">
        <f t="shared" si="0"/>
        <v>1.576673784</v>
      </c>
      <c r="U9" t="n">
        <f t="shared" si="1"/>
        <v>1.61104165225506</v>
      </c>
    </row>
    <row r="10" spans="1:21" ht="16.5" x14ac:dyDescent="0.25">
      <c r="R10" s="3">
        <v>8</v>
      </c>
      <c r="S10" s="15">
        <v>281.55734</v>
      </c>
      <c r="T10" t="n">
        <f t="shared" si="0"/>
        <v>1.576721104</v>
      </c>
      <c r="U10" t="n">
        <f t="shared" si="1"/>
        <v>1.61109000372241</v>
      </c>
    </row>
    <row r="11" spans="1:21" ht="16.5" x14ac:dyDescent="0.25">
      <c r="R11" s="3">
        <v>9</v>
      </c>
      <c r="S11" s="15">
        <v>563.19814</v>
      </c>
      <c r="T11" t="n">
        <f t="shared" si="0"/>
        <v>3.153909584</v>
      </c>
      <c r="U11" t="n">
        <f t="shared" si="1"/>
        <v>3.22265757116847</v>
      </c>
    </row>
    <row r="12" spans="1:21" ht="16.5" x14ac:dyDescent="0.25">
      <c r="R12" s="3">
        <v>10</v>
      </c>
      <c r="S12" s="15">
        <v>563.16998</v>
      </c>
      <c r="T12" t="n">
        <f t="shared" si="0"/>
        <v>3.153751888</v>
      </c>
      <c r="U12" t="n">
        <f t="shared" si="1"/>
        <v>3.22249643775776</v>
      </c>
    </row>
    <row r="13" spans="1:21" ht="16.5" x14ac:dyDescent="0.25">
      <c r="R13" s="3">
        <v>11</v>
      </c>
      <c r="S13" s="15">
        <v>1407.92546</v>
      </c>
      <c r="T13" t="n">
        <f t="shared" si="0"/>
        <v>7.884382576</v>
      </c>
      <c r="U13" t="n">
        <f t="shared" si="1"/>
        <v>8.05624401264863</v>
      </c>
    </row>
    <row r="14" spans="1:21" ht="16.5" x14ac:dyDescent="0.25">
      <c r="R14" s="3">
        <v>12</v>
      </c>
      <c r="S14" s="15">
        <v>1407.91138</v>
      </c>
      <c r="T14" t="n">
        <f t="shared" si="0"/>
        <v>7.884303728</v>
      </c>
      <c r="U14" t="n">
        <f t="shared" si="1"/>
        <v>8.05616344594328</v>
      </c>
    </row>
    <row r="15" spans="1:21" ht="16.5" x14ac:dyDescent="0.25">
      <c r="R15" s="3">
        <v>13</v>
      </c>
      <c r="S15" s="15">
        <v>2815.51207</v>
      </c>
      <c r="T15" t="n">
        <f t="shared" si="0"/>
        <v>15.766867592</v>
      </c>
      <c r="U15" t="n">
        <f t="shared" si="1"/>
        <v>16.1105491028463</v>
      </c>
    </row>
    <row r="16" spans="1:21" ht="16.5" x14ac:dyDescent="0.25">
      <c r="R16" s="3">
        <v>14</v>
      </c>
      <c r="S16" s="15">
        <v>2815.68099</v>
      </c>
      <c r="T16" t="n">
        <f t="shared" si="0"/>
        <v>15.767813544</v>
      </c>
      <c r="U16" t="n">
        <f t="shared" si="1"/>
        <v>16.1115156744279</v>
      </c>
    </row>
    <row r="17" spans="15:21" ht="16.5" x14ac:dyDescent="0.25">
      <c r="R17" s="3">
        <v>15</v>
      </c>
      <c r="S17" s="15">
        <v>5630.85623</v>
      </c>
      <c r="T17" t="n">
        <f t="shared" si="0"/>
        <v>31.532794888</v>
      </c>
      <c r="U17" t="n">
        <f t="shared" si="1"/>
        <v>32.2201374133988</v>
      </c>
    </row>
    <row r="18" spans="15:21" ht="16.5" x14ac:dyDescent="0.25">
      <c r="R18" s="3">
        <v>16</v>
      </c>
      <c r="S18" s="15">
        <v>5631.64451</v>
      </c>
      <c r="T18" t="n">
        <f t="shared" si="0"/>
        <v>31.537209256</v>
      </c>
      <c r="U18" t="n">
        <f t="shared" si="1"/>
        <v>32.2246480044853</v>
      </c>
    </row>
    <row r="19" spans="15:21" ht="16.5" x14ac:dyDescent="0.25">
      <c r="R19" s="3">
        <v>17</v>
      </c>
      <c r="S19" s="15">
        <v>14077.70313</v>
      </c>
      <c r="T19" t="n">
        <f t="shared" si="0"/>
        <v>78.835137528</v>
      </c>
      <c r="U19" t="n">
        <f t="shared" si="1"/>
        <v>80.5535625109779</v>
      </c>
    </row>
    <row r="20" spans="15:21" ht="16.5" x14ac:dyDescent="0.25">
      <c r="R20" s="3" t="s">
        <v>108</v>
      </c>
      <c r="S20" s="15">
        <v>14077.42159</v>
      </c>
      <c r="T20" t="n">
        <f t="shared" si="0"/>
        <v>78.833560904</v>
      </c>
      <c r="U20" t="n">
        <f t="shared" si="1"/>
        <v>80.5519515201949</v>
      </c>
    </row>
    <row r="21" spans="15:21" x14ac:dyDescent="0.25">
      <c r="O21" s="48" t="n">
        <f>S3+S4+S5+S6+S7+S8</f>
        <v>450.51587</v>
      </c>
      <c r="S21" s="48" t="n">
        <f>AVERAGE(S3:S13)</f>
        <v>322.537789090909</v>
      </c>
      <c r="T21" t="n">
        <f>SUM(T3:T20)</f>
        <v>280.026015248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Chọn quả</vt:lpstr>
      <vt:lpstr>KQ KĐ</vt:lpstr>
      <vt:lpstr>KQ KĐ (2)</vt:lpstr>
      <vt:lpstr>Tính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2023-01-12T08:19:01Z</dcterms:modified>
</cp:coreProperties>
</file>