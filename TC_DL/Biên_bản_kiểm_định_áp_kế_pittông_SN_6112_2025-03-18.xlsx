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<sst xmlns="http://schemas.openxmlformats.org/spreadsheetml/2006/main" count="168" uniqueCount="150">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</sst>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22.52413</v>
      </c>
      <c r="C2" s="19">
        <v>0.006757</v>
      </c>
      <c r="E2" s="19" t="s">
        <v>43</v>
      </c>
      <c r="F2" s="19" t="n">
        <f>IF(E2="",0,VLOOKUP(E2,$A$2:$C$17,2,FALSE))</f>
        <v>2252.34209</v>
      </c>
      <c r="G2" s="19" t="n">
        <f>IF(E2="",0,VLOOKUP(E2,$A$2:$C$17,3,FALSE))</f>
        <v>0.675703</v>
      </c>
    </row>
    <row r="3" spans="1:7" ht="18.75" x14ac:dyDescent="0.3">
      <c r="A3" s="3">
        <v>1</v>
      </c>
      <c r="B3" s="15">
        <v>22.52435</v>
      </c>
      <c r="C3" s="19">
        <v>0.006757</v>
      </c>
      <c r="E3" s="19" t="s">
        <v>41</v>
      </c>
      <c r="F3" s="19" t="n">
        <f>IF(E3="",0,VLOOKUP(E3,$A$2:$C$17,2,FALSE))</f>
        <v>1126.14852</v>
      </c>
      <c r="G3" s="19" t="n">
        <f t="shared" ref="G3:G17" si="0">IF(E3="",0,VLOOKUP(E3,$A$2:$C$17,3,FALSE))</f>
        <v>0.337845</v>
      </c>
    </row>
    <row r="4" spans="1:7" ht="18.75" x14ac:dyDescent="0.3">
      <c r="A4" s="3">
        <v>2</v>
      </c>
      <c r="B4" s="15">
        <v>56.30713</v>
      </c>
      <c r="C4" s="19">
        <v>0.016892</v>
      </c>
      <c r="E4" s="19" t="s">
        <v>42</v>
      </c>
      <c r="F4" s="19" t="n">
        <f t="shared" ref="F4:F17" si="1">IF(E4="",0,VLOOKUP(E4,$A$2:$C$17,2,FALSE))</f>
        <v>1126.18231</v>
      </c>
      <c r="G4" s="19" t="n">
        <f t="shared" si="0"/>
        <v>0.337855</v>
      </c>
    </row>
    <row r="5" spans="1:7" ht="18.75" x14ac:dyDescent="0.3">
      <c r="A5" s="3" t="s">
        <v>22</v>
      </c>
      <c r="B5" s="15">
        <v>56.30825</v>
      </c>
      <c r="C5" s="19">
        <v>0.016892</v>
      </c>
      <c r="E5" s="19" t="s">
        <v>44</v>
      </c>
      <c r="F5" s="19" t="n">
        <f t="shared" si="1"/>
        <v>2252.43218</v>
      </c>
      <c r="G5" s="19" t="n">
        <f t="shared" si="0"/>
        <v>0.67573</v>
      </c>
    </row>
    <row r="6" spans="1:7" ht="18.75" x14ac:dyDescent="0.3">
      <c r="A6" s="3" t="s">
        <v>23</v>
      </c>
      <c r="B6" s="15">
        <v>112.62201</v>
      </c>
      <c r="C6" s="19">
        <v>0.033787</v>
      </c>
      <c r="E6" s="19" t="s">
        <v>45</v>
      </c>
      <c r="F6" s="19" t="n">
        <f t="shared" si="1"/>
        <v>5630.79992</v>
      </c>
      <c r="G6" s="19" t="n">
        <f t="shared" si="0"/>
        <v>1.68924</v>
      </c>
    </row>
    <row r="7" spans="1:7" ht="18.75" x14ac:dyDescent="0.3">
      <c r="A7" s="3">
        <v>10</v>
      </c>
      <c r="B7" s="15">
        <v>112.62426</v>
      </c>
      <c r="C7" s="19">
        <v>0.033787</v>
      </c>
      <c r="E7" s="19" t="s">
        <v>46</v>
      </c>
      <c r="F7" s="19" t="n">
        <f t="shared" si="1"/>
        <v>5631.02514</v>
      </c>
      <c r="G7" s="19" t="n">
        <f t="shared" si="0"/>
        <v>1.689308</v>
      </c>
    </row>
    <row r="8" spans="1:7" ht="18.75" x14ac:dyDescent="0.3">
      <c r="A8" s="3" t="s">
        <v>38</v>
      </c>
      <c r="B8" s="3">
        <v>225.23401</v>
      </c>
      <c r="C8" s="19">
        <v>0.06757</v>
      </c>
      <c r="E8" s="19" t="s">
        <v>40</v>
      </c>
      <c r="F8" s="19" t="n">
        <f t="shared" si="1"/>
        <v>563.09115</v>
      </c>
      <c r="G8" s="19" t="n">
        <f t="shared" si="0"/>
        <v>0.168927</v>
      </c>
    </row>
    <row r="9" spans="1:7" ht="18.75" x14ac:dyDescent="0.3">
      <c r="A9" s="3">
        <v>20</v>
      </c>
      <c r="B9" s="16">
        <v>225.23401</v>
      </c>
      <c r="C9" s="19">
        <v>0.06757</v>
      </c>
      <c r="E9" s="19" t="s">
        <v>39</v>
      </c>
      <c r="F9" s="19" t="n">
        <f t="shared" si="1"/>
        <v>563.09115</v>
      </c>
      <c r="G9" s="19" t="n">
        <f t="shared" si="0"/>
        <v>0.168927</v>
      </c>
    </row>
    <row r="10" spans="1:7" ht="18.75" x14ac:dyDescent="0.3">
      <c r="A10" s="3" t="s">
        <v>40</v>
      </c>
      <c r="B10" s="16">
        <v>563.09115</v>
      </c>
      <c r="C10" s="19">
        <v>0.168927</v>
      </c>
      <c r="E10" s="19">
        <v>20</v>
      </c>
      <c r="F10" s="19" t="n">
        <f t="shared" si="1"/>
        <v>225.23401</v>
      </c>
      <c r="G10" s="19" t="n">
        <f t="shared" si="0"/>
        <v>0.06757</v>
      </c>
    </row>
    <row r="11" spans="1:7" ht="18.75" x14ac:dyDescent="0.3">
      <c r="A11" s="3" t="s">
        <v>39</v>
      </c>
      <c r="B11" s="16">
        <v>563.09115</v>
      </c>
      <c r="C11" s="19">
        <v>0.168927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1126.14852</v>
      </c>
      <c r="C12" s="19">
        <v>0.337845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1126.18231</v>
      </c>
      <c r="C13" s="19">
        <v>0.337855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2252.34209</v>
      </c>
      <c r="C14" s="19">
        <v>0.675703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2252.43218</v>
      </c>
      <c r="C15" s="19">
        <v>0.67573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5630.79992</v>
      </c>
      <c r="C16" s="19">
        <v>1.68924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5631.02514</v>
      </c>
      <c r="C17" s="19">
        <v>1.689308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19370.34647</v>
      </c>
      <c r="G18" s="18" t="n">
        <f>SUM(G2:G17)</f>
        <v>5.811105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18 tháng 03 năm 2025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014/2025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11.26179</v>
      </c>
      <c r="M7" s="15" t="n">
        <f>(100*L7)/(100+N7)</f>
        <v>11.2610017298789</v>
      </c>
      <c r="N7" s="23">
        <v>0.007</v>
      </c>
      <c r="O7" s="3">
        <v>0.015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11.26168</v>
      </c>
      <c r="M8" s="15" t="n">
        <f t="shared" ref="M8:M24" si="0">(100*L8)/(100+N8)</f>
        <v>11.2610043397396</v>
      </c>
      <c r="N8" s="23">
        <v>0.006</v>
      </c>
      <c r="O8" s="3">
        <v>0.015</v>
      </c>
    </row>
    <row r="9" spans="1:15" ht="18.600000000000001" customHeight="1" x14ac:dyDescent="0.3">
      <c r="A9" s="4" t="s">
        <v>52</v>
      </c>
      <c r="C9" s="4" t="inlineStr">
        <is>
          <t xml:space="preserve">МП-6</t>
        </is>
      </c>
      <c r="D9" s="4"/>
      <c r="E9" s="4"/>
      <c r="F9" s="4" t="s">
        <v>8</v>
      </c>
      <c r="G9" s="10" t="inlineStr">
        <is>
          <t xml:space="preserve">6112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22.52413</v>
      </c>
      <c r="M9" s="15" t="n">
        <f t="shared" si="0"/>
        <v>22.5230038498075</v>
      </c>
      <c r="N9" s="23">
        <v>0.005</v>
      </c>
      <c r="O9" s="3">
        <v>0.015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22.52435</v>
      </c>
      <c r="M10" s="15" t="n">
        <f t="shared" ref="M10" si="1">(100*L10)/(100+N10)</f>
        <v>22.5229986200828</v>
      </c>
      <c r="N10" s="23">
        <v>0.006</v>
      </c>
      <c r="O10" s="3">
        <v>0.015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56.30713</v>
      </c>
      <c r="M11" s="15" t="n">
        <f>(100*L11)/(100+N11)</f>
        <v>56.3060038799224</v>
      </c>
      <c r="N11" s="23">
        <v>0.002</v>
      </c>
      <c r="O11" s="3">
        <v>0.015</v>
      </c>
    </row>
    <row r="12" spans="1:15" ht="18.600000000000001" customHeight="1" x14ac:dyDescent="0.3">
      <c r="A12" s="4"/>
      <c r="B12" s="4" t="inlineStr">
        <is>
          <t xml:space="preserve">Phạm vi đo: (0,4 đến 6)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56.30825</v>
      </c>
      <c r="M12" s="15" t="n">
        <f t="shared" si="0"/>
        <v>56.3059977600896</v>
      </c>
      <c r="N12" s="23">
        <v>0.004</v>
      </c>
      <c r="O12" s="3">
        <v>0.015</v>
      </c>
    </row>
    <row r="13" spans="1:15" ht="18.600000000000001" customHeight="1" x14ac:dyDescent="0.3">
      <c r="A13" s="4"/>
      <c r="B13" s="4" t="inlineStr">
        <is>
          <t xml:space="preserve">Cấp chính xác: 0,02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112.62426</v>
      </c>
      <c r="M13" s="15" t="n">
        <f t="shared" si="0"/>
        <v>112.61299870013</v>
      </c>
      <c r="N13" s="23">
        <v>0.01</v>
      </c>
      <c r="O13" s="3">
        <v>0.015</v>
      </c>
    </row>
    <row r="14" spans="1:15" ht="18.600000000000001" customHeight="1" x14ac:dyDescent="0.3">
      <c r="A14" s="4" t="inlineStr">
        <is>
          <t xml:space="preserve">Đơn vị sử dụng: Phòng Đo lường Nhiệt-Áp suất, Trung tâm Đo lường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112.62201</v>
      </c>
      <c r="M14" s="15" t="n">
        <f t="shared" si="0"/>
        <v>112.613000959923</v>
      </c>
      <c r="N14" s="23">
        <v>0.008</v>
      </c>
      <c r="O14" s="3">
        <v>0.015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225.23401</v>
      </c>
      <c r="M15" s="15" t="n">
        <f t="shared" si="0"/>
        <v>225.22500099996</v>
      </c>
      <c r="N15" s="23">
        <v>0.004</v>
      </c>
      <c r="O15" s="3">
        <v>0.015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PG7202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225.23401</v>
      </c>
      <c r="M16" s="15" t="n">
        <f t="shared" si="0"/>
        <v>225.22500099996</v>
      </c>
      <c r="N16" s="23">
        <v>0.004</v>
      </c>
      <c r="O16" s="3">
        <v>0.015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563.09115</v>
      </c>
      <c r="M17" s="15" t="n">
        <f t="shared" si="0"/>
        <v>563.062996850157</v>
      </c>
      <c r="N17" s="23">
        <v>0.005</v>
      </c>
      <c r="O17" s="3">
        <v>0.015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(21 ± 2) ºC</t>
        </is>
      </c>
      <c r="F18" s="10"/>
      <c r="J18" s="3">
        <v>12</v>
      </c>
      <c r="K18" s="3" t="inlineStr">
        <is>
          <t xml:space="preserve">12</t>
        </is>
      </c>
      <c r="L18" s="15">
        <v>563.09115</v>
      </c>
      <c r="M18" s="15" t="n">
        <f t="shared" si="0"/>
        <v>563.062996850157</v>
      </c>
      <c r="N18" s="23">
        <v>0.005</v>
      </c>
      <c r="O18" s="3">
        <v>0.015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(59 ± 5) %RH</t>
        </is>
      </c>
      <c r="F19" s="10"/>
      <c r="J19" s="3">
        <v>13</v>
      </c>
      <c r="K19" s="3" t="inlineStr">
        <is>
          <t xml:space="preserve">13</t>
        </is>
      </c>
      <c r="L19" s="15">
        <v>1126.14852</v>
      </c>
      <c r="M19" s="15" t="n">
        <f t="shared" si="0"/>
        <v>1126.12599748005</v>
      </c>
      <c r="N19" s="23">
        <v>0.002</v>
      </c>
      <c r="O19" s="3">
        <v>0.015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45734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1126.18231</v>
      </c>
      <c r="M20" s="15" t="n">
        <f t="shared" si="0"/>
        <v>1126.12600369981</v>
      </c>
      <c r="N20" s="23">
        <v>0.005</v>
      </c>
      <c r="O20" s="3">
        <v>0.015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2252.34209</v>
      </c>
      <c r="M21" s="15" t="n">
        <f t="shared" si="0"/>
        <v>2252.25199992</v>
      </c>
      <c r="N21" s="23">
        <v>0.004</v>
      </c>
      <c r="O21" s="3">
        <v>0.015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2252.43218</v>
      </c>
      <c r="M22" s="15" t="n">
        <f t="shared" si="0"/>
        <v>2252.25199984001</v>
      </c>
      <c r="N22" s="3">
        <v>0.008</v>
      </c>
      <c r="O22" s="3">
        <v>0.015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5630.79992</v>
      </c>
      <c r="M23" s="15" t="n">
        <f t="shared" si="0"/>
        <v>5630.63100106997</v>
      </c>
      <c r="N23" s="3">
        <v>0.003</v>
      </c>
      <c r="O23" s="3">
        <v>0.015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5631.02514</v>
      </c>
      <c r="M24" s="62" t="n">
        <f t="shared" si="0"/>
        <v>5630.63099583029</v>
      </c>
      <c r="N24" s="61">
        <v>0.007</v>
      </c>
      <c r="O24" s="61">
        <v>0.015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Nguyễn Thị Lan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3.1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14.5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211.1</v>
      </c>
      <c r="B60" s="70"/>
      <c r="C60" s="70"/>
      <c r="D60" s="70">
        <v>211.8</v>
      </c>
      <c r="E60" s="70"/>
      <c r="F60" s="70">
        <v>211.45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0.31</v>
      </c>
      <c r="B66" s="73"/>
      <c r="C66" s="72">
        <v>0.36</v>
      </c>
      <c r="D66" s="73"/>
      <c r="E66" s="3">
        <v>0.35</v>
      </c>
      <c r="F66" s="70">
        <v>0.34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0.00032622243333333334</v>
      </c>
    </row>
    <row r="6" spans="1:14" ht="18.600000000000001" customHeight="1" x14ac:dyDescent="0.25">
      <c r="A6" s="13">
        <v>1</v>
      </c>
      <c r="B6" s="46">
        <v>0.6</v>
      </c>
      <c r="C6" s="47" t="inlineStr">
        <is>
          <t xml:space="preserve">8,14,17</t>
        </is>
      </c>
      <c r="D6" s="49">
        <v>1999.987</v>
      </c>
      <c r="E6" s="22">
        <v>0.013</v>
      </c>
      <c r="F6" s="49" t="n">
        <f>D6+E6</f>
        <v>2000</v>
      </c>
      <c r="G6" s="51">
        <v>1010.18</v>
      </c>
      <c r="H6" s="46">
        <v>55.7</v>
      </c>
      <c r="I6" s="46">
        <v>19.7</v>
      </c>
      <c r="M6" s="21" t="e">
        <f>B6*#REF!</f>
        <v>#NAME?</v>
      </c>
      <c r="N6" s="50" t="n">
        <f>$N$5*D6/'Tính toán'!$D$3</f>
        <v>8093.60188477177</v>
      </c>
    </row>
    <row r="7" spans="1:14" ht="18.600000000000001" customHeight="1" x14ac:dyDescent="0.25">
      <c r="A7" s="13">
        <v>2</v>
      </c>
      <c r="B7" s="46">
        <v>1.2</v>
      </c>
      <c r="C7" s="47" t="inlineStr">
        <is>
          <t xml:space="preserve">2,4,12</t>
        </is>
      </c>
      <c r="D7" s="49">
        <v>3999.979</v>
      </c>
      <c r="E7" s="22">
        <v>0.021</v>
      </c>
      <c r="F7" s="49" t="n">
        <f t="shared" ref="F7:F15" si="0">D7+E7</f>
        <v>4000</v>
      </c>
      <c r="G7" s="51">
        <v>1015.86</v>
      </c>
      <c r="H7" s="46">
        <v>64.8</v>
      </c>
      <c r="I7" s="46">
        <v>19.9</v>
      </c>
      <c r="M7" s="21" t="e">
        <f>B7*#REF!</f>
        <v>#NAME?</v>
      </c>
      <c r="N7" s="1" t="n">
        <f>$N$5*D7/'Tính toán'!$D$3</f>
        <v>16187.2240036798</v>
      </c>
    </row>
    <row r="8" spans="1:14" ht="18.600000000000001" customHeight="1" x14ac:dyDescent="0.25">
      <c r="A8" s="13">
        <v>3</v>
      </c>
      <c r="B8" s="46">
        <v>1.8</v>
      </c>
      <c r="C8" s="47" t="inlineStr">
        <is>
          <t xml:space="preserve">2,8,18</t>
        </is>
      </c>
      <c r="D8" s="49">
        <v>5999.983</v>
      </c>
      <c r="E8" s="22">
        <v>0.017</v>
      </c>
      <c r="F8" s="49" t="n">
        <f t="shared" si="0"/>
        <v>6000</v>
      </c>
      <c r="G8" s="51">
        <v>1004.76</v>
      </c>
      <c r="H8" s="46">
        <v>60.9</v>
      </c>
      <c r="I8" s="46">
        <v>20.3</v>
      </c>
      <c r="M8" s="21" t="e">
        <f>B8*#REF!</f>
        <v>#NAME?</v>
      </c>
      <c r="N8" s="1" t="n">
        <f>$N$5*D8/'Tính toán'!$D$3</f>
        <v>24280.8946845147</v>
      </c>
    </row>
    <row r="9" spans="1:14" ht="18.600000000000001" customHeight="1" x14ac:dyDescent="0.25">
      <c r="A9" s="13">
        <v>4</v>
      </c>
      <c r="B9" s="46">
        <v>2.4</v>
      </c>
      <c r="C9" s="47" t="inlineStr">
        <is>
          <t xml:space="preserve">9,12</t>
        </is>
      </c>
      <c r="D9" s="49">
        <v>7999.968</v>
      </c>
      <c r="E9" s="22">
        <v>0.032</v>
      </c>
      <c r="F9" s="49" t="n">
        <f t="shared" si="0"/>
        <v>8000</v>
      </c>
      <c r="G9" s="51">
        <v>1004.11</v>
      </c>
      <c r="H9" s="46">
        <v>62.1</v>
      </c>
      <c r="I9" s="46">
        <v>19.8</v>
      </c>
      <c r="M9" s="21" t="e">
        <f>B9*#REF!</f>
        <v>#NAME?</v>
      </c>
      <c r="N9" s="1" t="n">
        <f>$N$5*D9/'Tính toán'!$D$3</f>
        <v>32374.488475632</v>
      </c>
    </row>
    <row r="10" spans="1:14" ht="18.600000000000001" customHeight="1" x14ac:dyDescent="0.25">
      <c r="A10" s="13">
        <v>5</v>
      </c>
      <c r="B10" s="46">
        <v>3.0</v>
      </c>
      <c r="C10" s="47" t="inlineStr">
        <is>
          <t xml:space="preserve">10,18</t>
        </is>
      </c>
      <c r="D10" s="49">
        <v>9999.992</v>
      </c>
      <c r="E10" s="22">
        <v>0.008</v>
      </c>
      <c r="F10" s="49" t="n">
        <f t="shared" si="0"/>
        <v>10000</v>
      </c>
      <c r="G10" s="51">
        <v>1014.89</v>
      </c>
      <c r="H10" s="46">
        <v>59.0</v>
      </c>
      <c r="I10" s="46">
        <v>20.1</v>
      </c>
      <c r="M10" s="21" t="e">
        <f>B10*#REF!</f>
        <v>#NAME?</v>
      </c>
      <c r="N10" s="1" t="n">
        <f>$N$5*D10/'Tính toán'!$D$3</f>
        <v>40468.2400930119</v>
      </c>
    </row>
    <row r="11" spans="1:14" ht="18.600000000000001" customHeight="1" x14ac:dyDescent="0.25">
      <c r="A11" s="13">
        <v>6</v>
      </c>
      <c r="B11" s="46">
        <v>3.6</v>
      </c>
      <c r="C11" s="47" t="inlineStr">
        <is>
          <t xml:space="preserve">3,7,9,17</t>
        </is>
      </c>
      <c r="D11" s="49">
        <v>11999.978</v>
      </c>
      <c r="E11" s="22">
        <v>0.022</v>
      </c>
      <c r="F11" s="49" t="n">
        <f t="shared" si="0"/>
        <v>12000</v>
      </c>
      <c r="G11" s="51">
        <v>1007.25</v>
      </c>
      <c r="H11" s="46">
        <v>58.7</v>
      </c>
      <c r="I11" s="46">
        <v>19.9</v>
      </c>
      <c r="M11" s="21" t="e">
        <f>B11*#REF!</f>
        <v>#NAME?</v>
      </c>
      <c r="N11" s="1" t="n">
        <f>$N$5*D11/'Tính toán'!$D$4</f>
        <v>971160.860229195</v>
      </c>
    </row>
    <row r="12" spans="1:14" ht="18.600000000000001" customHeight="1" x14ac:dyDescent="0.25">
      <c r="A12" s="13">
        <v>7</v>
      </c>
      <c r="B12" s="46">
        <v>4.2</v>
      </c>
      <c r="C12" s="47" t="inlineStr">
        <is>
          <t xml:space="preserve">7,10,13</t>
        </is>
      </c>
      <c r="D12" s="49">
        <v>13999.975</v>
      </c>
      <c r="E12" s="22">
        <v>0.025</v>
      </c>
      <c r="F12" s="49" t="n">
        <f t="shared" si="0"/>
        <v>14000</v>
      </c>
      <c r="G12" s="51">
        <v>1007.72</v>
      </c>
      <c r="H12" s="46">
        <v>60.9</v>
      </c>
      <c r="I12" s="46">
        <v>20.8</v>
      </c>
    </row>
    <row r="13" spans="1:14" s="32" customFormat="1" ht="22.5" customHeight="1" x14ac:dyDescent="0.25">
      <c r="A13" s="13">
        <v>8</v>
      </c>
      <c r="B13" s="46">
        <v>4.8</v>
      </c>
      <c r="C13" s="47" t="inlineStr">
        <is>
          <t xml:space="preserve">7,14,18</t>
        </is>
      </c>
      <c r="D13" s="49">
        <v>15999.979</v>
      </c>
      <c r="E13" s="22">
        <v>0.021</v>
      </c>
      <c r="F13" s="49" t="n">
        <f t="shared" si="0"/>
        <v>16000</v>
      </c>
      <c r="G13" s="51">
        <v>1012.97</v>
      </c>
      <c r="H13" s="46">
        <v>60.5</v>
      </c>
      <c r="I13" s="60">
        <v>19.2</v>
      </c>
      <c r="J13" s="40"/>
    </row>
    <row r="14" spans="1:14" s="34" customFormat="1" ht="22.5" customHeight="1" x14ac:dyDescent="0.25">
      <c r="A14" s="13">
        <v>9</v>
      </c>
      <c r="B14" s="46">
        <v>5.4</v>
      </c>
      <c r="C14" s="47" t="inlineStr">
        <is>
          <t xml:space="preserve">12,13,14</t>
        </is>
      </c>
      <c r="D14" s="49">
        <v>17999.975</v>
      </c>
      <c r="E14" s="22">
        <v>0.025</v>
      </c>
      <c r="F14" s="49" t="n">
        <f t="shared" si="0"/>
        <v>18000</v>
      </c>
      <c r="G14" s="51">
        <v>1012.94</v>
      </c>
      <c r="H14" s="46">
        <v>56.2</v>
      </c>
      <c r="I14" s="60">
        <v>20.7</v>
      </c>
      <c r="J14" s="40"/>
    </row>
    <row r="15" spans="1:14" s="35" customFormat="1" ht="22.5" customHeight="1" x14ac:dyDescent="0.25">
      <c r="A15" s="52">
        <v>10</v>
      </c>
      <c r="B15" s="53">
        <v>6.0</v>
      </c>
      <c r="C15" s="47" t="inlineStr">
        <is>
          <t xml:space="preserve">1,9,11</t>
        </is>
      </c>
      <c r="D15" s="49">
        <v>19999.978</v>
      </c>
      <c r="E15" s="22">
        <v>0.022</v>
      </c>
      <c r="F15" s="49" t="n">
        <f t="shared" si="0"/>
        <v>20000</v>
      </c>
      <c r="G15" s="51">
        <v>1004.54</v>
      </c>
      <c r="H15" s="46">
        <v>61.2</v>
      </c>
      <c r="I15" s="60">
        <v>19.2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0,32622 × 10-3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0,756 × 10-3 (bar) </t>
        </is>
      </c>
      <c r="F18" s="31" t="inlineStr">
        <is>
          <t xml:space="preserve">tại p = 4,2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1,512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0.00018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0.00032622243333333334</v>
      </c>
      <c r="J3" s="45">
        <v>0.00032622243333333334</v>
      </c>
      <c r="K3" s="45">
        <v>0.00032622243333333334</v>
      </c>
      <c r="L3" s="45">
        <v>0.00032622243333333334</v>
      </c>
      <c r="M3" s="45">
        <v>0.00032622243333333334</v>
      </c>
      <c r="R3" s="3">
        <v>1</v>
      </c>
      <c r="S3" s="15">
        <v>11.26179</v>
      </c>
      <c r="T3" t="n">
        <f>(S3*0.001*9.786673*0.00001)/0.00032622243333333334</f>
        <v>0.003378537</v>
      </c>
      <c r="U3" t="n">
        <f>(S3*0.001*0.0001)/0.00032622243333333334</f>
        <v>0.0034521813490652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11.26168</v>
      </c>
      <c r="T4" t="n">
        <f t="shared" ref="T4:T20" si="0">(S4*0.001*9.786673*0.00001)/0.00032622243333333334</f>
        <v>0.003378504</v>
      </c>
      <c r="U4" t="n">
        <f t="shared" ref="U4:U20" si="1">(S4*0.001*0.0001)/0.00032622243333333334</f>
        <v>0.00345214762974098</v>
      </c>
    </row>
    <row r="5" spans="1:21" ht="16.5" x14ac:dyDescent="0.25">
      <c r="H5" t="s">
        <v>113</v>
      </c>
      <c r="I5" s="45" t="n">
        <f>(I4*9.786673*0.00001)/I3</f>
        <v>3</v>
      </c>
      <c r="J5" t="n">
        <f t="shared" ref="J5:M5" si="2">(J4*9.786673*0.00001)/J3</f>
        <v>0.27</v>
      </c>
      <c r="K5" t="n">
        <f t="shared" si="2"/>
        <v>0.36</v>
      </c>
      <c r="L5" t="n">
        <f t="shared" si="2"/>
        <v>0.6</v>
      </c>
      <c r="M5" t="n">
        <f t="shared" si="2"/>
        <v>0.12</v>
      </c>
      <c r="N5" t="n">
        <f>SUM(I5:M5)</f>
        <v>4.35</v>
      </c>
      <c r="R5" s="3">
        <v>3</v>
      </c>
      <c r="S5" s="15">
        <v>22.52413</v>
      </c>
      <c r="T5" t="n">
        <f t="shared" si="0"/>
        <v>0.006757239</v>
      </c>
      <c r="U5" t="n">
        <f t="shared" si="1"/>
        <v>0.00690453129475155</v>
      </c>
    </row>
    <row r="6" spans="1:21" ht="16.5" x14ac:dyDescent="0.25">
      <c r="R6" s="3">
        <v>4</v>
      </c>
      <c r="S6" s="15">
        <v>22.52435</v>
      </c>
      <c r="T6" t="n">
        <f t="shared" si="0"/>
        <v>0.006757305</v>
      </c>
      <c r="U6" t="n">
        <f t="shared" si="1"/>
        <v>0.0069045987334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128.999342727273</v>
      </c>
      <c r="R7" s="3">
        <v>5</v>
      </c>
      <c r="S7" s="15">
        <v>56.30713</v>
      </c>
      <c r="T7" t="n">
        <f t="shared" si="0"/>
        <v>0.016892139</v>
      </c>
      <c r="U7" t="n">
        <f t="shared" si="1"/>
        <v>0.0172603488437797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56.30825</v>
      </c>
      <c r="T8" t="n">
        <f t="shared" si="0"/>
        <v>0.016892475</v>
      </c>
      <c r="U8" t="n">
        <f t="shared" si="1"/>
        <v>0.0172606921678082</v>
      </c>
    </row>
    <row r="9" spans="1:21" ht="16.5" x14ac:dyDescent="0.25">
      <c r="H9" t="s">
        <v>147</v>
      </c>
      <c r="I9" t="n">
        <f>(0.99985*I7*B7)/I8</f>
        <v>0.00257959985651727</v>
      </c>
      <c r="R9" s="3">
        <v>7</v>
      </c>
      <c r="S9" s="15">
        <v>112.62426</v>
      </c>
      <c r="T9" t="n">
        <f t="shared" si="0"/>
        <v>0.033787278</v>
      </c>
      <c r="U9" t="n">
        <f t="shared" si="1"/>
        <v>0.034523763080671</v>
      </c>
    </row>
    <row r="10" spans="1:21" ht="16.5" x14ac:dyDescent="0.25">
      <c r="R10" s="3">
        <v>8</v>
      </c>
      <c r="S10" s="15">
        <v>112.62201</v>
      </c>
      <c r="T10" t="n">
        <f t="shared" si="0"/>
        <v>0.033786603</v>
      </c>
      <c r="U10" t="n">
        <f t="shared" si="1"/>
        <v>0.0345230733672209</v>
      </c>
    </row>
    <row r="11" spans="1:21" ht="16.5" x14ac:dyDescent="0.25">
      <c r="R11" s="3">
        <v>9</v>
      </c>
      <c r="S11" s="15">
        <v>225.23401</v>
      </c>
      <c r="T11" t="n">
        <f t="shared" si="0"/>
        <v>0.067570203</v>
      </c>
      <c r="U11" t="n">
        <f t="shared" si="1"/>
        <v>0.0690430782759371</v>
      </c>
    </row>
    <row r="12" spans="1:21" ht="16.5" x14ac:dyDescent="0.25">
      <c r="R12" s="3">
        <v>10</v>
      </c>
      <c r="S12" s="15">
        <v>225.23401</v>
      </c>
      <c r="T12" t="n">
        <f t="shared" si="0"/>
        <v>0.067570203</v>
      </c>
      <c r="U12" t="n">
        <f t="shared" si="1"/>
        <v>0.0690430782759371</v>
      </c>
    </row>
    <row r="13" spans="1:21" ht="16.5" x14ac:dyDescent="0.25">
      <c r="R13" s="3">
        <v>11</v>
      </c>
      <c r="S13" s="15">
        <v>563.09115</v>
      </c>
      <c r="T13" t="n">
        <f t="shared" si="0"/>
        <v>0.168927345</v>
      </c>
      <c r="U13" t="n">
        <f t="shared" si="1"/>
        <v>0.172609573243124</v>
      </c>
    </row>
    <row r="14" spans="1:21" ht="16.5" x14ac:dyDescent="0.25">
      <c r="R14" s="3">
        <v>12</v>
      </c>
      <c r="S14" s="15">
        <v>563.09115</v>
      </c>
      <c r="T14" t="n">
        <f t="shared" si="0"/>
        <v>0.168927345</v>
      </c>
      <c r="U14" t="n">
        <f t="shared" si="1"/>
        <v>0.172609573243124</v>
      </c>
    </row>
    <row r="15" spans="1:21" ht="16.5" x14ac:dyDescent="0.25">
      <c r="R15" s="3">
        <v>13</v>
      </c>
      <c r="S15" s="15">
        <v>1126.14852</v>
      </c>
      <c r="T15" t="n">
        <f t="shared" si="0"/>
        <v>0.337844556</v>
      </c>
      <c r="U15" t="n">
        <f t="shared" si="1"/>
        <v>0.345208791588316</v>
      </c>
    </row>
    <row r="16" spans="1:21" ht="16.5" x14ac:dyDescent="0.25">
      <c r="R16" s="3">
        <v>14</v>
      </c>
      <c r="S16" s="15">
        <v>1126.18231</v>
      </c>
      <c r="T16" t="n">
        <f t="shared" si="0"/>
        <v>0.337854693</v>
      </c>
      <c r="U16" t="n">
        <f t="shared" si="1"/>
        <v>0.34521914955164</v>
      </c>
    </row>
    <row r="17" spans="15:21" ht="16.5" x14ac:dyDescent="0.25">
      <c r="R17" s="3">
        <v>15</v>
      </c>
      <c r="S17" s="15">
        <v>2252.34209</v>
      </c>
      <c r="T17" t="n">
        <f t="shared" si="0"/>
        <v>0.675702627</v>
      </c>
      <c r="U17" t="n">
        <f t="shared" si="1"/>
        <v>0.6904313927726</v>
      </c>
    </row>
    <row r="18" spans="15:21" ht="16.5" x14ac:dyDescent="0.25">
      <c r="R18" s="3">
        <v>16</v>
      </c>
      <c r="S18" s="15">
        <v>2252.43218</v>
      </c>
      <c r="T18" t="n">
        <f t="shared" si="0"/>
        <v>0.675729654</v>
      </c>
      <c r="U18" t="n">
        <f t="shared" si="1"/>
        <v>0.690459008899143</v>
      </c>
    </row>
    <row r="19" spans="15:21" ht="16.5" x14ac:dyDescent="0.25">
      <c r="R19" s="3">
        <v>17</v>
      </c>
      <c r="S19" s="15">
        <v>5630.79992</v>
      </c>
      <c r="T19" t="n">
        <f t="shared" si="0"/>
        <v>1.689239976</v>
      </c>
      <c r="U19" t="n">
        <f t="shared" si="1"/>
        <v>1.7260615287749</v>
      </c>
    </row>
    <row r="20" spans="15:21" ht="16.5" x14ac:dyDescent="0.25">
      <c r="R20" s="3" t="s">
        <v>108</v>
      </c>
      <c r="S20" s="15">
        <v>5631.02514</v>
      </c>
      <c r="T20" t="n">
        <f t="shared" si="0"/>
        <v>1.689307542</v>
      </c>
      <c r="U20" t="n">
        <f t="shared" si="1"/>
        <v>1.72613056755856</v>
      </c>
    </row>
    <row r="21" spans="15:21" x14ac:dyDescent="0.25">
      <c r="O21" s="48" t="n">
        <f>S3+S4+S5+S6+S7+S8</f>
        <v>180.18733</v>
      </c>
      <c r="S21" s="48" t="n">
        <f>AVERAGE(S3:S13)</f>
        <v>128.999342727273</v>
      </c>
      <c r="T21" t="n">
        <f>SUM(T3:T20)</f>
        <v>6.000304224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