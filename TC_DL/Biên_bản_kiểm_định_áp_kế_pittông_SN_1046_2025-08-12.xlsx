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<sst xmlns="http://schemas.openxmlformats.org/spreadsheetml/2006/main" count="168" uniqueCount="150">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</sst>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(kG/cm2)</t>
        </is>
      </c>
    </row>
    <row r="2" spans="1:7" ht="18.75" x14ac:dyDescent="0.3">
      <c r="A2" s="3" t="s">
        <v>21</v>
      </c>
      <c r="B2" s="15">
        <v>67.57205</v>
      </c>
      <c r="C2" s="19">
        <v>0.067572</v>
      </c>
      <c r="E2" s="19" t="s">
        <v>43</v>
      </c>
      <c r="F2" s="19" t="n">
        <f>IF(E2="",0,VLOOKUP(E2,$A$2:$C$17,2,FALSE))</f>
        <v>6757.02727</v>
      </c>
      <c r="G2" s="19" t="n">
        <f>IF(E2="",0,VLOOKUP(E2,$A$2:$C$17,3,FALSE))</f>
        <v>6.757027</v>
      </c>
    </row>
    <row r="3" spans="1:7" ht="18.75" x14ac:dyDescent="0.3">
      <c r="A3" s="3">
        <v>1</v>
      </c>
      <c r="B3" s="15">
        <v>67.58286</v>
      </c>
      <c r="C3" s="19">
        <v>0.067583</v>
      </c>
      <c r="E3" s="19" t="s">
        <v>41</v>
      </c>
      <c r="F3" s="19" t="n">
        <f>IF(E3="",0,VLOOKUP(E3,$A$2:$C$17,2,FALSE))</f>
        <v>3378.88476</v>
      </c>
      <c r="G3" s="19" t="n">
        <f t="shared" ref="G3:G17" si="0">IF(E3="",0,VLOOKUP(E3,$A$2:$C$17,3,FALSE))</f>
        <v>3.378885</v>
      </c>
    </row>
    <row r="4" spans="1:7" ht="18.75" x14ac:dyDescent="0.3">
      <c r="A4" s="3">
        <v>2</v>
      </c>
      <c r="B4" s="15">
        <v>168.92576</v>
      </c>
      <c r="C4" s="19">
        <v>0.168926</v>
      </c>
      <c r="E4" s="19" t="s">
        <v>42</v>
      </c>
      <c r="F4" s="19" t="n">
        <f t="shared" ref="F4:F17" si="1">IF(E4="",0,VLOOKUP(E4,$A$2:$C$17,2,FALSE))</f>
        <v>3378.88476</v>
      </c>
      <c r="G4" s="19" t="n">
        <f t="shared" si="0"/>
        <v>3.378885</v>
      </c>
    </row>
    <row r="5" spans="1:7" ht="18.75" x14ac:dyDescent="0.3">
      <c r="A5" s="3" t="s">
        <v>22</v>
      </c>
      <c r="B5" s="15">
        <v>168.93927</v>
      </c>
      <c r="C5" s="19">
        <v>0.168939</v>
      </c>
      <c r="E5" s="19" t="s">
        <v>44</v>
      </c>
      <c r="F5" s="19" t="n">
        <f t="shared" si="1"/>
        <v>6757.50024</v>
      </c>
      <c r="G5" s="19" t="n">
        <f t="shared" si="0"/>
        <v>6.7575</v>
      </c>
    </row>
    <row r="6" spans="1:7" ht="18.75" x14ac:dyDescent="0.3">
      <c r="A6" s="3" t="s">
        <v>23</v>
      </c>
      <c r="B6" s="15">
        <v>337.89543</v>
      </c>
      <c r="C6" s="19">
        <v>0.337895</v>
      </c>
      <c r="E6" s="19" t="s">
        <v>45</v>
      </c>
      <c r="F6" s="19" t="n">
        <f t="shared" si="1"/>
        <v>16893.07443</v>
      </c>
      <c r="G6" s="19" t="n">
        <f t="shared" si="0"/>
        <v>16.893074</v>
      </c>
    </row>
    <row r="7" spans="1:7" ht="18.75" x14ac:dyDescent="0.3">
      <c r="A7" s="3">
        <v>10</v>
      </c>
      <c r="B7" s="15">
        <v>337.90895</v>
      </c>
      <c r="C7" s="19">
        <v>0.337909</v>
      </c>
      <c r="E7" s="19" t="s">
        <v>46</v>
      </c>
      <c r="F7" s="19" t="n">
        <f t="shared" si="1"/>
        <v>16894.42578</v>
      </c>
      <c r="G7" s="19" t="n">
        <f t="shared" si="0"/>
        <v>16.894426</v>
      </c>
    </row>
    <row r="8" spans="1:7" ht="18.75" x14ac:dyDescent="0.3">
      <c r="A8" s="3" t="s">
        <v>38</v>
      </c>
      <c r="B8" s="3">
        <v>675.75708</v>
      </c>
      <c r="C8" s="19">
        <v>0.675757</v>
      </c>
      <c r="E8" s="19" t="s">
        <v>40</v>
      </c>
      <c r="F8" s="19" t="n">
        <f t="shared" si="1"/>
        <v>1689.34103</v>
      </c>
      <c r="G8" s="19" t="n">
        <f t="shared" si="0"/>
        <v>1.689341</v>
      </c>
    </row>
    <row r="9" spans="1:7" ht="18.75" x14ac:dyDescent="0.3">
      <c r="A9" s="3">
        <v>20</v>
      </c>
      <c r="B9" s="16">
        <v>675.77735</v>
      </c>
      <c r="C9" s="19">
        <v>0.675777</v>
      </c>
      <c r="E9" s="19" t="s">
        <v>39</v>
      </c>
      <c r="F9" s="19" t="n">
        <f t="shared" si="1"/>
        <v>1689.44238</v>
      </c>
      <c r="G9" s="19" t="n">
        <f t="shared" si="0"/>
        <v>1.689442</v>
      </c>
    </row>
    <row r="10" spans="1:7" ht="18.75" x14ac:dyDescent="0.3">
      <c r="A10" s="3" t="s">
        <v>40</v>
      </c>
      <c r="B10" s="16">
        <v>1689.34103</v>
      </c>
      <c r="C10" s="19">
        <v>1.689341</v>
      </c>
      <c r="E10" s="19">
        <v>20</v>
      </c>
      <c r="F10" s="19" t="n">
        <f t="shared" si="1"/>
        <v>675.77735</v>
      </c>
      <c r="G10" s="19" t="n">
        <f t="shared" si="0"/>
        <v>0.675777</v>
      </c>
    </row>
    <row r="11" spans="1:7" ht="18.75" x14ac:dyDescent="0.3">
      <c r="A11" s="3" t="s">
        <v>39</v>
      </c>
      <c r="B11" s="16">
        <v>1689.44238</v>
      </c>
      <c r="C11" s="19">
        <v>1.689442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3378.88476</v>
      </c>
      <c r="C12" s="19">
        <v>3.378885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3378.88476</v>
      </c>
      <c r="C13" s="19">
        <v>3.378885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6757.02727</v>
      </c>
      <c r="C14" s="19">
        <v>6.757027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6757.50024</v>
      </c>
      <c r="C15" s="19">
        <v>6.7575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16893.07443</v>
      </c>
      <c r="C16" s="19">
        <v>16.893074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16894.42578</v>
      </c>
      <c r="C17" s="19">
        <v>16.894426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58114.358</v>
      </c>
      <c r="G18" s="18" t="n">
        <f>SUM(G2:G17)</f>
        <v>58.114357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12 tháng 08 năm 2025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016/2025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33.78501</v>
      </c>
      <c r="M7" s="15" t="n">
        <f>(100*L7)/(100+N7)</f>
        <v>33.7839964801056</v>
      </c>
      <c r="N7" s="23">
        <v>0.003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33.78907</v>
      </c>
      <c r="M8" s="15" t="n">
        <f t="shared" ref="M8:M24" si="0">(100*L8)/(100+N8)</f>
        <v>33.7840023996401</v>
      </c>
      <c r="N8" s="23">
        <v>0.015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МП-60</t>
        </is>
      </c>
      <c r="D9" s="4"/>
      <c r="E9" s="4"/>
      <c r="F9" s="4" t="s">
        <v>8</v>
      </c>
      <c r="G9" s="10" t="inlineStr">
        <is>
          <t xml:space="preserve">1046</t>
        </is>
      </c>
      <c r="H9" s="4"/>
      <c r="I9" s="4"/>
      <c r="J9" s="3">
        <v>3</v>
      </c>
      <c r="K9" s="3" t="inlineStr">
        <is>
          <t xml:space="preserve">3</t>
        </is>
      </c>
      <c r="L9" s="15">
        <v>67.58286</v>
      </c>
      <c r="M9" s="15" t="n">
        <f t="shared" si="0"/>
        <v>67.567995041091</v>
      </c>
      <c r="N9" s="23">
        <v>0.022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67.57205</v>
      </c>
      <c r="M10" s="15" t="n">
        <f t="shared" ref="M10" si="1">(100*L10)/(100+N10)</f>
        <v>67.5679959202448</v>
      </c>
      <c r="N10" s="23">
        <v>0.006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168.92576</v>
      </c>
      <c r="M11" s="15" t="n">
        <f>(100*L11)/(100+N11)</f>
        <v>168.91900323987</v>
      </c>
      <c r="N11" s="23">
        <v>0.004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(1 đến 60) kgf/cm2;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168.93927</v>
      </c>
      <c r="M12" s="15" t="n">
        <f t="shared" si="0"/>
        <v>168.918999720034</v>
      </c>
      <c r="N12" s="23">
        <v>0.012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337.90895</v>
      </c>
      <c r="M13" s="15" t="n">
        <f t="shared" si="0"/>
        <v>337.838004019156</v>
      </c>
      <c r="N13" s="23">
        <v>0.021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Công ty CP Cơ khí Thủy lực Hải An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337.89543</v>
      </c>
      <c r="M14" s="15" t="n">
        <f t="shared" si="0"/>
        <v>337.837997540418</v>
      </c>
      <c r="N14" s="23">
        <v>0.017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675.77735</v>
      </c>
      <c r="M15" s="15" t="n">
        <f t="shared" si="0"/>
        <v>675.67599860021</v>
      </c>
      <c r="N15" s="23">
        <v>0.015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PG7202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675.75708</v>
      </c>
      <c r="M16" s="15" t="n">
        <f t="shared" si="0"/>
        <v>675.675998880134</v>
      </c>
      <c r="N16" s="23">
        <v>0.012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1689.44238</v>
      </c>
      <c r="M17" s="15" t="n">
        <f t="shared" si="0"/>
        <v>1689.18900164975</v>
      </c>
      <c r="N17" s="23">
        <v>0.015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(20 ± 2) ºC</t>
        </is>
      </c>
      <c r="F18" s="10"/>
      <c r="J18" s="3">
        <v>12</v>
      </c>
      <c r="K18" s="3" t="inlineStr">
        <is>
          <t xml:space="preserve">12</t>
        </is>
      </c>
      <c r="L18" s="15">
        <v>1689.34103</v>
      </c>
      <c r="M18" s="15" t="n">
        <f t="shared" si="0"/>
        <v>1689.18900298973</v>
      </c>
      <c r="N18" s="23">
        <v>0.009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(61 ± 5) %RH</t>
        </is>
      </c>
      <c r="F19" s="10"/>
      <c r="J19" s="3">
        <v>13</v>
      </c>
      <c r="K19" s="3" t="inlineStr">
        <is>
          <t xml:space="preserve">13</t>
        </is>
      </c>
      <c r="L19" s="15">
        <v>3378.88476</v>
      </c>
      <c r="M19" s="15" t="n">
        <f t="shared" si="0"/>
        <v>3378.3780032995</v>
      </c>
      <c r="N19" s="23">
        <v>0.015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45881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3378.88476</v>
      </c>
      <c r="M20" s="15" t="n">
        <f t="shared" si="0"/>
        <v>3378.3780032995</v>
      </c>
      <c r="N20" s="23">
        <v>0.015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6757.50024</v>
      </c>
      <c r="M21" s="15" t="n">
        <f t="shared" si="0"/>
        <v>6756.75699673036</v>
      </c>
      <c r="N21" s="23">
        <v>0.011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6757.02727</v>
      </c>
      <c r="M22" s="15" t="n">
        <f t="shared" si="0"/>
        <v>6756.75699972001</v>
      </c>
      <c r="N22" s="3">
        <v>0.004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16893.07443</v>
      </c>
      <c r="M23" s="15" t="n">
        <f t="shared" si="0"/>
        <v>16891.8919975602</v>
      </c>
      <c r="N23" s="3">
        <v>0.007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16894.42578</v>
      </c>
      <c r="M24" s="62" t="n">
        <f t="shared" si="0"/>
        <v>16891.8919962006</v>
      </c>
      <c r="N24" s="61">
        <v>0.015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Lê Minh Châu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2.6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20.5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213.8</v>
      </c>
      <c r="B60" s="70"/>
      <c r="C60" s="70"/>
      <c r="D60" s="70">
        <v>201.1</v>
      </c>
      <c r="E60" s="70"/>
      <c r="F60" s="70">
        <v>207.45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</v>
      </c>
      <c r="B66" s="73"/>
      <c r="C66" s="72">
        <v>0.36</v>
      </c>
      <c r="D66" s="73"/>
      <c r="E66" s="3">
        <v>0.32</v>
      </c>
      <c r="F66" s="70">
        <v>0.327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(kG/cm2)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9.97962912921334e-05</v>
      </c>
    </row>
    <row r="6" spans="1:14" ht="18.600000000000001" customHeight="1" x14ac:dyDescent="0.25">
      <c r="A6" s="13">
        <v>1</v>
      </c>
      <c r="B6" s="46">
        <v>6.0</v>
      </c>
      <c r="C6" s="47" t="inlineStr">
        <is>
          <t xml:space="preserve">11,13,14,17</t>
        </is>
      </c>
      <c r="D6" s="49">
        <v>5999.992</v>
      </c>
      <c r="E6" s="22">
        <v>0.008</v>
      </c>
      <c r="F6" s="49" t="n">
        <f>D6+E6</f>
        <v>6000</v>
      </c>
      <c r="G6" s="51">
        <v>1007.64</v>
      </c>
      <c r="H6" s="46">
        <v>60.0</v>
      </c>
      <c r="I6" s="46">
        <v>20.5</v>
      </c>
      <c r="M6" s="21" t="e">
        <f>B6*#REF!</f>
        <v>#NAME?</v>
      </c>
      <c r="N6" s="50" t="n">
        <f>$N$5*D6/'Tính toán'!$D$3</f>
        <v>7427.89773448424</v>
      </c>
    </row>
    <row r="7" spans="1:14" ht="18.600000000000001" customHeight="1" x14ac:dyDescent="0.25">
      <c r="A7" s="13">
        <v>2</v>
      </c>
      <c r="B7" s="46">
        <v>12.0</v>
      </c>
      <c r="C7" s="47" t="inlineStr">
        <is>
          <t xml:space="preserve">7,16</t>
        </is>
      </c>
      <c r="D7" s="49">
        <v>11999.991</v>
      </c>
      <c r="E7" s="22">
        <v>0.009</v>
      </c>
      <c r="F7" s="49" t="n">
        <f t="shared" ref="F7:F15" si="0">D7+E7</f>
        <v>12000</v>
      </c>
      <c r="G7" s="51">
        <v>1012.23</v>
      </c>
      <c r="H7" s="46">
        <v>64.1</v>
      </c>
      <c r="I7" s="46">
        <v>19.8</v>
      </c>
      <c r="M7" s="21" t="e">
        <f>B7*#REF!</f>
        <v>#NAME?</v>
      </c>
      <c r="N7" s="1" t="n">
        <f>$N$5*D7/'Tính toán'!$D$3</f>
        <v>14855.8041348607</v>
      </c>
    </row>
    <row r="8" spans="1:14" ht="18.600000000000001" customHeight="1" x14ac:dyDescent="0.25">
      <c r="A8" s="13">
        <v>3</v>
      </c>
      <c r="B8" s="46">
        <v>18.0</v>
      </c>
      <c r="C8" s="47" t="inlineStr">
        <is>
          <t xml:space="preserve">9,10,18</t>
        </is>
      </c>
      <c r="D8" s="49">
        <v>17999.96</v>
      </c>
      <c r="E8" s="22">
        <v>0.04</v>
      </c>
      <c r="F8" s="49" t="n">
        <f t="shared" si="0"/>
        <v>18000</v>
      </c>
      <c r="G8" s="51">
        <v>1011.7</v>
      </c>
      <c r="H8" s="46">
        <v>58.1</v>
      </c>
      <c r="I8" s="46">
        <v>20.3</v>
      </c>
      <c r="M8" s="21" t="e">
        <f>B8*#REF!</f>
        <v>#NAME?</v>
      </c>
      <c r="N8" s="1" t="n">
        <f>$N$5*D8/'Tính toán'!$D$3</f>
        <v>22283.673395699</v>
      </c>
    </row>
    <row r="9" spans="1:14" ht="18.600000000000001" customHeight="1" x14ac:dyDescent="0.25">
      <c r="A9" s="13">
        <v>4</v>
      </c>
      <c r="B9" s="46">
        <v>24.0</v>
      </c>
      <c r="C9" s="47" t="inlineStr">
        <is>
          <t xml:space="preserve">6,11,15</t>
        </is>
      </c>
      <c r="D9" s="49">
        <v>23999.992</v>
      </c>
      <c r="E9" s="22">
        <v>0.008</v>
      </c>
      <c r="F9" s="49" t="n">
        <f t="shared" si="0"/>
        <v>24000</v>
      </c>
      <c r="G9" s="51">
        <v>1015.21</v>
      </c>
      <c r="H9" s="46">
        <v>62.2</v>
      </c>
      <c r="I9" s="46">
        <v>20.1</v>
      </c>
      <c r="M9" s="21" t="e">
        <f>B9*#REF!</f>
        <v>#NAME?</v>
      </c>
      <c r="N9" s="1" t="n">
        <f>$N$5*D9/'Tính toán'!$D$3</f>
        <v>29711.6206495675</v>
      </c>
    </row>
    <row r="10" spans="1:14" ht="18.600000000000001" customHeight="1" x14ac:dyDescent="0.25">
      <c r="A10" s="13">
        <v>5</v>
      </c>
      <c r="B10" s="46">
        <v>30.0</v>
      </c>
      <c r="C10" s="47" t="inlineStr">
        <is>
          <t xml:space="preserve">5,17</t>
        </is>
      </c>
      <c r="D10" s="49">
        <v>29999.962</v>
      </c>
      <c r="E10" s="22">
        <v>0.038</v>
      </c>
      <c r="F10" s="49" t="n">
        <f t="shared" si="0"/>
        <v>30000</v>
      </c>
      <c r="G10" s="51">
        <v>1009.12</v>
      </c>
      <c r="H10" s="46">
        <v>58.5</v>
      </c>
      <c r="I10" s="46">
        <v>19.7</v>
      </c>
      <c r="M10" s="21" t="e">
        <f>B10*#REF!</f>
        <v>#NAME?</v>
      </c>
      <c r="N10" s="1" t="n">
        <f>$N$5*D10/'Tính toán'!$D$3</f>
        <v>37139.4911483904</v>
      </c>
    </row>
    <row r="11" spans="1:14" ht="18.600000000000001" customHeight="1" x14ac:dyDescent="0.25">
      <c r="A11" s="13">
        <v>6</v>
      </c>
      <c r="B11" s="46">
        <v>36.0</v>
      </c>
      <c r="C11" s="47" t="inlineStr">
        <is>
          <t xml:space="preserve">5,16,17</t>
        </is>
      </c>
      <c r="D11" s="49">
        <v>35999.975</v>
      </c>
      <c r="E11" s="22">
        <v>0.025</v>
      </c>
      <c r="F11" s="49" t="n">
        <f t="shared" si="0"/>
        <v>36000</v>
      </c>
      <c r="G11" s="51">
        <v>1004.82</v>
      </c>
      <c r="H11" s="46">
        <v>63.4</v>
      </c>
      <c r="I11" s="46">
        <v>20.1</v>
      </c>
      <c r="M11" s="21" t="e">
        <f>B11*#REF!</f>
        <v>#NAME?</v>
      </c>
      <c r="N11" s="1" t="n">
        <f>$N$5*D11/'Tính toán'!$D$4</f>
        <v>891278.64219482</v>
      </c>
    </row>
    <row r="12" spans="1:14" ht="18.600000000000001" customHeight="1" x14ac:dyDescent="0.25">
      <c r="A12" s="13">
        <v>7</v>
      </c>
      <c r="B12" s="46">
        <v>42.0</v>
      </c>
      <c r="C12" s="47" t="inlineStr">
        <is>
          <t xml:space="preserve">1,2,13</t>
        </is>
      </c>
      <c r="D12" s="49">
        <v>41999.995</v>
      </c>
      <c r="E12" s="22">
        <v>0.005</v>
      </c>
      <c r="F12" s="49" t="n">
        <f t="shared" si="0"/>
        <v>42000</v>
      </c>
      <c r="G12" s="51">
        <v>1009.7</v>
      </c>
      <c r="H12" s="46">
        <v>63.1</v>
      </c>
      <c r="I12" s="46">
        <v>20.0</v>
      </c>
    </row>
    <row r="13" spans="1:14" s="32" customFormat="1" ht="22.5" customHeight="1" x14ac:dyDescent="0.25">
      <c r="A13" s="13">
        <v>8</v>
      </c>
      <c r="B13" s="46">
        <v>48.0</v>
      </c>
      <c r="C13" s="47" t="inlineStr">
        <is>
          <t xml:space="preserve">1,9,11</t>
        </is>
      </c>
      <c r="D13" s="49">
        <v>47999.994</v>
      </c>
      <c r="E13" s="22">
        <v>0.006</v>
      </c>
      <c r="F13" s="49" t="n">
        <f t="shared" si="0"/>
        <v>48000</v>
      </c>
      <c r="G13" s="51">
        <v>1011.61</v>
      </c>
      <c r="H13" s="46">
        <v>62.4</v>
      </c>
      <c r="I13" s="60">
        <v>20.2</v>
      </c>
      <c r="J13" s="40"/>
    </row>
    <row r="14" spans="1:14" s="34" customFormat="1" ht="22.5" customHeight="1" x14ac:dyDescent="0.25">
      <c r="A14" s="13">
        <v>9</v>
      </c>
      <c r="B14" s="46">
        <v>54.0</v>
      </c>
      <c r="C14" s="47" t="inlineStr">
        <is>
          <t xml:space="preserve">5,11</t>
        </is>
      </c>
      <c r="D14" s="49">
        <v>53999.994</v>
      </c>
      <c r="E14" s="22">
        <v>0.006</v>
      </c>
      <c r="F14" s="49" t="n">
        <f t="shared" si="0"/>
        <v>54000</v>
      </c>
      <c r="G14" s="51">
        <v>1007.15</v>
      </c>
      <c r="H14" s="46">
        <v>56.5</v>
      </c>
      <c r="I14" s="60">
        <v>19.6</v>
      </c>
      <c r="J14" s="40"/>
    </row>
    <row r="15" spans="1:14" s="35" customFormat="1" ht="22.5" customHeight="1" x14ac:dyDescent="0.25">
      <c r="A15" s="52">
        <v>10</v>
      </c>
      <c r="B15" s="53">
        <v>60.0</v>
      </c>
      <c r="C15" s="47" t="inlineStr">
        <is>
          <t xml:space="preserve">9,13,14,17</t>
        </is>
      </c>
      <c r="D15" s="49">
        <v>59999.976</v>
      </c>
      <c r="E15" s="22">
        <v>0.024</v>
      </c>
      <c r="F15" s="49" t="n">
        <f t="shared" si="0"/>
        <v>60000</v>
      </c>
      <c r="G15" s="51">
        <v>1013.06</v>
      </c>
      <c r="H15" s="46">
        <v>58.5</v>
      </c>
      <c r="I15" s="60">
        <v>20.5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0,99796 × 10-4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18,900 × 10-3 (kG/cm2) </t>
        </is>
      </c>
      <c r="F18" s="31" t="inlineStr">
        <is>
          <t xml:space="preserve">tại p = 42,0 kG/cm2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37,800 × 10-3 (kG/cm2)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9.97962912921334e-05</v>
      </c>
      <c r="J3" s="45">
        <v>9.97962912921334e-05</v>
      </c>
      <c r="K3" s="45">
        <v>9.97962912921334e-05</v>
      </c>
      <c r="L3" s="45">
        <v>9.97962912921334e-05</v>
      </c>
      <c r="M3" s="45">
        <v>9.97962912921334e-05</v>
      </c>
      <c r="R3" s="3">
        <v>1</v>
      </c>
      <c r="S3" s="15">
        <v>33.78501</v>
      </c>
      <c r="T3" t="n">
        <f>(S3*0.001*9.786673*0.00001)/9.97962912921334e-05</f>
        <v>0.03313177683165</v>
      </c>
      <c r="U3" t="n">
        <f>(S3*0.001*0.0001)/9.97962912921334e-05</f>
        <v>0.033853973491962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33.78907</v>
      </c>
      <c r="T4" t="n">
        <f t="shared" ref="T4:T20" si="0">(S4*0.001*9.786673*0.00001)/9.97962912921334e-05</f>
        <v>0.03313575833155</v>
      </c>
      <c r="U4" t="n">
        <f t="shared" ref="U4:U20" si="1">(S4*0.001*0.0001)/9.97962912921334e-05</f>
        <v>0.0338580417794178</v>
      </c>
    </row>
    <row r="5" spans="1:21" ht="16.5" x14ac:dyDescent="0.25">
      <c r="H5" t="s">
        <v>113</v>
      </c>
      <c r="I5" s="45" t="n">
        <f>(I4*9.786673*0.00001)/I3</f>
        <v>9.80665</v>
      </c>
      <c r="J5" t="n">
        <f t="shared" ref="J5:M5" si="2">(J4*9.786673*0.00001)/J3</f>
        <v>0.8825985</v>
      </c>
      <c r="K5" t="n">
        <f t="shared" si="2"/>
        <v>1.176798</v>
      </c>
      <c r="L5" t="n">
        <f t="shared" si="2"/>
        <v>1.96133</v>
      </c>
      <c r="M5" t="n">
        <f t="shared" si="2"/>
        <v>0.392266</v>
      </c>
      <c r="N5" t="n">
        <f>SUM(I5:M5)</f>
        <v>14.2196425</v>
      </c>
      <c r="R5" s="3">
        <v>3</v>
      </c>
      <c r="S5" s="15">
        <v>67.58286</v>
      </c>
      <c r="T5" t="n">
        <f t="shared" si="0"/>
        <v>0.0662761454019</v>
      </c>
      <c r="U5" t="n">
        <f t="shared" si="1"/>
        <v>0.0677208131935133</v>
      </c>
    </row>
    <row r="6" spans="1:21" ht="16.5" x14ac:dyDescent="0.25">
      <c r="R6" s="3">
        <v>4</v>
      </c>
      <c r="S6" s="15">
        <v>67.57205</v>
      </c>
      <c r="T6" t="n">
        <f t="shared" si="0"/>
        <v>0.06626554441325</v>
      </c>
      <c r="U6" t="n">
        <f t="shared" si="1"/>
        <v>0.0677099811276519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387.03411</v>
      </c>
      <c r="R7" s="3">
        <v>5</v>
      </c>
      <c r="S7" s="15">
        <v>168.92576</v>
      </c>
      <c r="T7" t="n">
        <f t="shared" si="0"/>
        <v>0.1656595804304</v>
      </c>
      <c r="U7" t="n">
        <f t="shared" si="1"/>
        <v>0.169270578909094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168.93927</v>
      </c>
      <c r="T8" t="n">
        <f t="shared" si="0"/>
        <v>0.16567282921455</v>
      </c>
      <c r="U8" t="n">
        <f t="shared" si="1"/>
        <v>0.169284116486318</v>
      </c>
    </row>
    <row r="9" spans="1:21" ht="16.5" x14ac:dyDescent="0.25">
      <c r="H9" t="s">
        <v>147</v>
      </c>
      <c r="I9" t="n">
        <f>(0.99985*I7*B7)/I8</f>
        <v>0.00773952109767</v>
      </c>
      <c r="R9" s="3">
        <v>7</v>
      </c>
      <c r="S9" s="15">
        <v>337.90895</v>
      </c>
      <c r="T9" t="n">
        <f t="shared" si="0"/>
        <v>0.33137548045175</v>
      </c>
      <c r="U9" t="n">
        <f t="shared" si="1"/>
        <v>0.338598705046904</v>
      </c>
    </row>
    <row r="10" spans="1:21" ht="16.5" x14ac:dyDescent="0.25">
      <c r="R10" s="3">
        <v>8</v>
      </c>
      <c r="S10" s="15">
        <v>337.89543</v>
      </c>
      <c r="T10" t="n">
        <f t="shared" si="0"/>
        <v>0.33136222186095</v>
      </c>
      <c r="U10" t="n">
        <f t="shared" si="1"/>
        <v>0.338585157449268</v>
      </c>
    </row>
    <row r="11" spans="1:21" ht="16.5" x14ac:dyDescent="0.25">
      <c r="R11" s="3">
        <v>9</v>
      </c>
      <c r="S11" s="15">
        <v>675.77735</v>
      </c>
      <c r="T11" t="n">
        <f t="shared" si="0"/>
        <v>0.66271119493775</v>
      </c>
      <c r="U11" t="n">
        <f t="shared" si="1"/>
        <v>0.677156777321312</v>
      </c>
    </row>
    <row r="12" spans="1:21" ht="16.5" x14ac:dyDescent="0.25">
      <c r="R12" s="3">
        <v>10</v>
      </c>
      <c r="S12" s="15">
        <v>675.75708</v>
      </c>
      <c r="T12" t="n">
        <f t="shared" si="0"/>
        <v>0.6626913168582</v>
      </c>
      <c r="U12" t="n">
        <f t="shared" si="1"/>
        <v>0.677136465945271</v>
      </c>
    </row>
    <row r="13" spans="1:21" ht="16.5" x14ac:dyDescent="0.25">
      <c r="R13" s="3">
        <v>11</v>
      </c>
      <c r="S13" s="15">
        <v>1689.44238</v>
      </c>
      <c r="T13" t="n">
        <f t="shared" si="0"/>
        <v>1.6567770115827</v>
      </c>
      <c r="U13" t="n">
        <f t="shared" si="1"/>
        <v>1.69289094627224</v>
      </c>
    </row>
    <row r="14" spans="1:21" ht="16.5" x14ac:dyDescent="0.25">
      <c r="R14" s="3">
        <v>12</v>
      </c>
      <c r="S14" s="15">
        <v>1689.34103</v>
      </c>
      <c r="T14" t="n">
        <f t="shared" si="0"/>
        <v>1.65667762118495</v>
      </c>
      <c r="U14" t="n">
        <f t="shared" si="1"/>
        <v>1.69278938939203</v>
      </c>
    </row>
    <row r="15" spans="1:21" ht="16.5" x14ac:dyDescent="0.25">
      <c r="R15" s="3">
        <v>13</v>
      </c>
      <c r="S15" s="15">
        <v>3378.88476</v>
      </c>
      <c r="T15" t="n">
        <f t="shared" si="0"/>
        <v>3.3135540231654</v>
      </c>
      <c r="U15" t="n">
        <f t="shared" si="1"/>
        <v>3.38578189254448</v>
      </c>
    </row>
    <row r="16" spans="1:21" ht="16.5" x14ac:dyDescent="0.25">
      <c r="R16" s="3">
        <v>14</v>
      </c>
      <c r="S16" s="15">
        <v>3378.88476</v>
      </c>
      <c r="T16" t="n">
        <f t="shared" si="0"/>
        <v>3.3135540231654</v>
      </c>
      <c r="U16" t="n">
        <f t="shared" si="1"/>
        <v>3.38578189254448</v>
      </c>
    </row>
    <row r="17" spans="15:21" ht="16.5" x14ac:dyDescent="0.25">
      <c r="R17" s="3">
        <v>15</v>
      </c>
      <c r="S17" s="15">
        <v>6757.50024</v>
      </c>
      <c r="T17" t="n">
        <f t="shared" si="0"/>
        <v>6.6268439728596</v>
      </c>
      <c r="U17" t="n">
        <f t="shared" si="1"/>
        <v>6.77129395542244</v>
      </c>
    </row>
    <row r="18" spans="15:21" ht="16.5" x14ac:dyDescent="0.25">
      <c r="R18" s="3">
        <v>16</v>
      </c>
      <c r="S18" s="15">
        <v>6757.02727</v>
      </c>
      <c r="T18" t="n">
        <f t="shared" si="0"/>
        <v>6.62638014773455</v>
      </c>
      <c r="U18" t="n">
        <f t="shared" si="1"/>
        <v>6.77082001997466</v>
      </c>
    </row>
    <row r="19" spans="15:21" ht="16.5" x14ac:dyDescent="0.25">
      <c r="R19" s="3">
        <v>17</v>
      </c>
      <c r="S19" s="15">
        <v>16893.07443</v>
      </c>
      <c r="T19" t="n">
        <f t="shared" si="0"/>
        <v>16.566446835896</v>
      </c>
      <c r="U19" t="n">
        <f t="shared" si="1"/>
        <v>16.9275573383273</v>
      </c>
    </row>
    <row r="20" spans="15:21" ht="16.5" x14ac:dyDescent="0.25">
      <c r="R20" s="3" t="s">
        <v>108</v>
      </c>
      <c r="S20" s="15">
        <v>16894.42578</v>
      </c>
      <c r="T20" t="n">
        <f t="shared" si="0"/>
        <v>16.5677720575437</v>
      </c>
      <c r="U20" t="n">
        <f t="shared" si="1"/>
        <v>16.9289114467641</v>
      </c>
    </row>
    <row r="21" spans="15:21" x14ac:dyDescent="0.25">
      <c r="O21" s="48" t="n">
        <f>S3+S4+S5+S6+S7+S8</f>
        <v>540.59402</v>
      </c>
      <c r="S21" s="48" t="n">
        <f>AVERAGE(S3:S13)</f>
        <v>387.03411</v>
      </c>
      <c r="T21" t="n">
        <f>SUM(T3:T20)</f>
        <v>58.8462875418642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