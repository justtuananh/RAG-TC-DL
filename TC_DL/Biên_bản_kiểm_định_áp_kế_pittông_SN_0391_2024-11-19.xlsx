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<sst xmlns="http://schemas.openxmlformats.org/spreadsheetml/2006/main" count="168" uniqueCount="150">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</sst>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168.95616</v>
      </c>
      <c r="C2" s="19">
        <v>2.815936</v>
      </c>
      <c r="E2" s="19" t="s">
        <v>43</v>
      </c>
      <c r="F2" s="19" t="n">
        <f>IF(E2="",0,VLOOKUP(E2,$A$2:$C$17,2,FALSE))</f>
        <v>16893.58119</v>
      </c>
      <c r="G2" s="19" t="n">
        <f>IF(E2="",0,VLOOKUP(E2,$A$2:$C$17,3,FALSE))</f>
        <v>281.559686</v>
      </c>
    </row>
    <row r="3" spans="1:7" ht="18.75" x14ac:dyDescent="0.3">
      <c r="A3" s="3">
        <v>1</v>
      </c>
      <c r="B3" s="15">
        <v>168.95785</v>
      </c>
      <c r="C3" s="19">
        <v>2.815964</v>
      </c>
      <c r="E3" s="19" t="s">
        <v>41</v>
      </c>
      <c r="F3" s="19" t="n">
        <f>IF(E3="",0,VLOOKUP(E3,$A$2:$C$17,2,FALSE))</f>
        <v>8447.04397</v>
      </c>
      <c r="G3" s="19" t="n">
        <f t="shared" ref="G3:G17" si="0">IF(E3="",0,VLOOKUP(E3,$A$2:$C$17,3,FALSE))</f>
        <v>140.784066</v>
      </c>
    </row>
    <row r="4" spans="1:7" ht="18.75" x14ac:dyDescent="0.3">
      <c r="A4" s="3">
        <v>2</v>
      </c>
      <c r="B4" s="15">
        <v>422.31389</v>
      </c>
      <c r="C4" s="19">
        <v>7.038565</v>
      </c>
      <c r="E4" s="19" t="s">
        <v>42</v>
      </c>
      <c r="F4" s="19" t="n">
        <f t="shared" ref="F4:F17" si="1">IF(E4="",0,VLOOKUP(E4,$A$2:$C$17,2,FALSE))</f>
        <v>8447.97303</v>
      </c>
      <c r="G4" s="19" t="n">
        <f t="shared" si="0"/>
        <v>140.79955</v>
      </c>
    </row>
    <row r="5" spans="1:7" ht="18.75" x14ac:dyDescent="0.3">
      <c r="A5" s="3" t="s">
        <v>22</v>
      </c>
      <c r="B5" s="15">
        <v>422.34345</v>
      </c>
      <c r="C5" s="19">
        <v>7.039057</v>
      </c>
      <c r="E5" s="19" t="s">
        <v>44</v>
      </c>
      <c r="F5" s="19" t="n">
        <f t="shared" si="1"/>
        <v>16895.60822</v>
      </c>
      <c r="G5" s="19" t="n">
        <f t="shared" si="0"/>
        <v>281.59347</v>
      </c>
    </row>
    <row r="6" spans="1:7" ht="18.75" x14ac:dyDescent="0.3">
      <c r="A6" s="3" t="s">
        <v>23</v>
      </c>
      <c r="B6" s="15">
        <v>844.64568</v>
      </c>
      <c r="C6" s="19">
        <v>14.077428</v>
      </c>
      <c r="E6" s="19" t="s">
        <v>45</v>
      </c>
      <c r="F6" s="19" t="n">
        <f t="shared" si="1"/>
        <v>42231.84149</v>
      </c>
      <c r="G6" s="19" t="n">
        <f t="shared" si="0"/>
        <v>703.864025</v>
      </c>
    </row>
    <row r="7" spans="1:7" ht="18.75" x14ac:dyDescent="0.3">
      <c r="A7" s="3">
        <v>10</v>
      </c>
      <c r="B7" s="15">
        <v>844.7977</v>
      </c>
      <c r="C7" s="19">
        <v>14.079962</v>
      </c>
      <c r="E7" s="19" t="s">
        <v>46</v>
      </c>
      <c r="F7" s="19" t="n">
        <f t="shared" si="1"/>
        <v>42233.95297</v>
      </c>
      <c r="G7" s="19" t="n">
        <f t="shared" si="0"/>
        <v>703.899216</v>
      </c>
    </row>
    <row r="8" spans="1:7" ht="18.75" x14ac:dyDescent="0.3">
      <c r="A8" s="3" t="s">
        <v>38</v>
      </c>
      <c r="B8" s="3">
        <v>1689.27346</v>
      </c>
      <c r="C8" s="19">
        <v>28.154558</v>
      </c>
      <c r="E8" s="19" t="s">
        <v>40</v>
      </c>
      <c r="F8" s="19" t="n">
        <f t="shared" si="1"/>
        <v>4223.31084</v>
      </c>
      <c r="G8" s="19" t="n">
        <f t="shared" si="0"/>
        <v>70.388514</v>
      </c>
    </row>
    <row r="9" spans="1:7" ht="18.75" x14ac:dyDescent="0.3">
      <c r="A9" s="3">
        <v>20</v>
      </c>
      <c r="B9" s="16">
        <v>1689.30724</v>
      </c>
      <c r="C9" s="19">
        <v>28.155121</v>
      </c>
      <c r="E9" s="19" t="s">
        <v>39</v>
      </c>
      <c r="F9" s="19" t="n">
        <f t="shared" si="1"/>
        <v>4223.81759</v>
      </c>
      <c r="G9" s="19" t="n">
        <f t="shared" si="0"/>
        <v>70.39696</v>
      </c>
    </row>
    <row r="10" spans="1:7" ht="18.75" x14ac:dyDescent="0.3">
      <c r="A10" s="3" t="s">
        <v>40</v>
      </c>
      <c r="B10" s="16">
        <v>4223.31084</v>
      </c>
      <c r="C10" s="19">
        <v>70.388514</v>
      </c>
      <c r="E10" s="19">
        <v>20</v>
      </c>
      <c r="F10" s="19" t="n">
        <f t="shared" si="1"/>
        <v>1689.30724</v>
      </c>
      <c r="G10" s="19" t="n">
        <f t="shared" si="0"/>
        <v>28.155121</v>
      </c>
    </row>
    <row r="11" spans="1:7" ht="18.75" x14ac:dyDescent="0.3">
      <c r="A11" s="3" t="s">
        <v>39</v>
      </c>
      <c r="B11" s="16">
        <v>4223.81759</v>
      </c>
      <c r="C11" s="19">
        <v>70.39696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8447.04397</v>
      </c>
      <c r="C12" s="19">
        <v>140.784066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8447.97303</v>
      </c>
      <c r="C13" s="19">
        <v>140.79955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16893.58119</v>
      </c>
      <c r="C14" s="19">
        <v>281.559686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16895.60822</v>
      </c>
      <c r="C15" s="19">
        <v>281.59347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42231.84149</v>
      </c>
      <c r="C16" s="19">
        <v>703.864025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42233.95297</v>
      </c>
      <c r="C17" s="19">
        <v>703.899216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145286.43654</v>
      </c>
      <c r="G18" s="18" t="n">
        <f>SUM(G2:G17)</f>
        <v>2421.440608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19 tháng 11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013/2024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84.46322</v>
      </c>
      <c r="M7" s="15" t="n">
        <f>(100*L7)/(100+N7)</f>
        <v>84.4589970501475</v>
      </c>
      <c r="N7" s="23">
        <v>0.005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84.46745</v>
      </c>
      <c r="M8" s="15" t="n">
        <f t="shared" ref="M8:M24" si="0">(100*L8)/(100+N8)</f>
        <v>84.4590040995901</v>
      </c>
      <c r="N8" s="23">
        <v>0.01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МП-2500</t>
        </is>
      </c>
      <c r="D9" s="4"/>
      <c r="E9" s="4"/>
      <c r="F9" s="4" t="s">
        <v>8</v>
      </c>
      <c r="G9" s="10" t="inlineStr">
        <is>
          <t xml:space="preserve">0391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168.95616</v>
      </c>
      <c r="M9" s="15" t="n">
        <f t="shared" si="0"/>
        <v>168.91899782048</v>
      </c>
      <c r="N9" s="23">
        <v>0.022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168.95785</v>
      </c>
      <c r="M10" s="15" t="n">
        <f t="shared" ref="M10" si="1">(100*L10)/(100+N10)</f>
        <v>168.918998630315</v>
      </c>
      <c r="N10" s="23">
        <v>0.023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422.31389</v>
      </c>
      <c r="M11" s="15" t="n">
        <f>(100*L11)/(100+N11)</f>
        <v>422.296998120075</v>
      </c>
      <c r="N11" s="23">
        <v>0.004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(50 đến 2 500)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422.34345</v>
      </c>
      <c r="M12" s="15" t="n">
        <f t="shared" si="0"/>
        <v>422.296997330294</v>
      </c>
      <c r="N12" s="23">
        <v>0.011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844.64568</v>
      </c>
      <c r="M13" s="15" t="n">
        <f t="shared" si="0"/>
        <v>844.595004299742</v>
      </c>
      <c r="N13" s="23">
        <v>0.006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Nhà máy Nhiệt điện Sông Lam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844.7977</v>
      </c>
      <c r="M14" s="15" t="n">
        <f t="shared" si="0"/>
        <v>844.594997200672</v>
      </c>
      <c r="N14" s="23">
        <v>0.024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1689.27346</v>
      </c>
      <c r="M15" s="15" t="n">
        <f t="shared" si="0"/>
        <v>1689.18900054997</v>
      </c>
      <c r="N15" s="23">
        <v>0.005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1689.30724</v>
      </c>
      <c r="M16" s="15" t="n">
        <f t="shared" si="0"/>
        <v>1689.18899677023</v>
      </c>
      <c r="N16" s="23">
        <v>0.007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4223.31084</v>
      </c>
      <c r="M17" s="15" t="n">
        <f t="shared" si="0"/>
        <v>4222.97300215983</v>
      </c>
      <c r="N17" s="23">
        <v>0.008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4223.81759</v>
      </c>
      <c r="M18" s="15" t="n">
        <f t="shared" si="0"/>
        <v>4222.97299540092</v>
      </c>
      <c r="N18" s="23">
        <v>0.02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(58 ± 5) %RH</t>
        </is>
      </c>
      <c r="F19" s="10"/>
      <c r="J19" s="3">
        <v>13</v>
      </c>
      <c r="K19" s="3" t="inlineStr">
        <is>
          <t xml:space="preserve">13</t>
        </is>
      </c>
      <c r="L19" s="15">
        <v>8447.97303</v>
      </c>
      <c r="M19" s="15" t="n">
        <f t="shared" si="0"/>
        <v>8445.94600295929</v>
      </c>
      <c r="N19" s="23">
        <v>0.024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45615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8447.04397</v>
      </c>
      <c r="M20" s="15" t="n">
        <f t="shared" si="0"/>
        <v>8445.94599702039</v>
      </c>
      <c r="N20" s="23">
        <v>0.013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16893.58119</v>
      </c>
      <c r="M21" s="15" t="n">
        <f t="shared" si="0"/>
        <v>16891.8920007999</v>
      </c>
      <c r="N21" s="23">
        <v>0.01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16895.60822</v>
      </c>
      <c r="M22" s="15" t="n">
        <f t="shared" si="0"/>
        <v>16891.8920037592</v>
      </c>
      <c r="N22" s="3">
        <v>0.022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42233.95297</v>
      </c>
      <c r="M23" s="15" t="n">
        <f t="shared" si="0"/>
        <v>42229.7299970003</v>
      </c>
      <c r="N23" s="3">
        <v>0.01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42231.84149</v>
      </c>
      <c r="M24" s="62" t="n">
        <f t="shared" si="0"/>
        <v>42229.7300034998</v>
      </c>
      <c r="N24" s="61">
        <v>0.005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Phạm Văn Hà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2.3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12.6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212.0</v>
      </c>
      <c r="B60" s="70"/>
      <c r="C60" s="70"/>
      <c r="D60" s="70">
        <v>198.1</v>
      </c>
      <c r="E60" s="70"/>
      <c r="F60" s="70">
        <v>205.05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0.33</v>
      </c>
      <c r="B66" s="73"/>
      <c r="C66" s="72">
        <v>0.3</v>
      </c>
      <c r="D66" s="73"/>
      <c r="E66" s="3">
        <v>0.31</v>
      </c>
      <c r="F66" s="70">
        <v>0.313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5.987777477528005e-06</v>
      </c>
    </row>
    <row r="6" spans="1:14" ht="18.600000000000001" customHeight="1" x14ac:dyDescent="0.25">
      <c r="A6" s="13">
        <v>1</v>
      </c>
      <c r="B6" s="46">
        <v>250.0</v>
      </c>
      <c r="C6" s="47" t="inlineStr">
        <is>
          <t xml:space="preserve">5,8,13,17</t>
        </is>
      </c>
      <c r="D6" s="49">
        <v>14999.958</v>
      </c>
      <c r="E6" s="22">
        <v>0.042</v>
      </c>
      <c r="F6" s="49" t="n">
        <f>D6+E6</f>
        <v>15000</v>
      </c>
      <c r="G6" s="51">
        <v>1013.06</v>
      </c>
      <c r="H6" s="46">
        <v>57.4</v>
      </c>
      <c r="I6" s="46">
        <v>20.5</v>
      </c>
      <c r="M6" s="21" t="e">
        <f>B6*#REF!</f>
        <v>#NAME?</v>
      </c>
      <c r="N6" s="50" t="n">
        <f>$N$5*D6/'Tính toán'!$D$3</f>
        <v>1114.18302603296</v>
      </c>
    </row>
    <row r="7" spans="1:14" ht="18.600000000000001" customHeight="1" x14ac:dyDescent="0.25">
      <c r="A7" s="13">
        <v>2</v>
      </c>
      <c r="B7" s="46">
        <v>500.0</v>
      </c>
      <c r="C7" s="47" t="inlineStr">
        <is>
          <t xml:space="preserve">2,12,15</t>
        </is>
      </c>
      <c r="D7" s="49">
        <v>29999.994</v>
      </c>
      <c r="E7" s="22">
        <v>0.006</v>
      </c>
      <c r="F7" s="49" t="n">
        <f t="shared" ref="F7:F15" si="0">D7+E7</f>
        <v>30000</v>
      </c>
      <c r="G7" s="51">
        <v>1014.01</v>
      </c>
      <c r="H7" s="46">
        <v>59.6</v>
      </c>
      <c r="I7" s="46">
        <v>19.7</v>
      </c>
      <c r="M7" s="21" t="e">
        <f>B7*#REF!</f>
        <v>#NAME?</v>
      </c>
      <c r="N7" s="1" t="n">
        <f>$N$5*D7/'Tính toán'!$D$3</f>
        <v>2228.37184583387</v>
      </c>
    </row>
    <row r="8" spans="1:14" ht="18.600000000000001" customHeight="1" x14ac:dyDescent="0.25">
      <c r="A8" s="13">
        <v>3</v>
      </c>
      <c r="B8" s="46">
        <v>750.0</v>
      </c>
      <c r="C8" s="47" t="inlineStr">
        <is>
          <t xml:space="preserve">5,6,7,11</t>
        </is>
      </c>
      <c r="D8" s="49">
        <v>44999.972</v>
      </c>
      <c r="E8" s="22">
        <v>0.028</v>
      </c>
      <c r="F8" s="49" t="n">
        <f t="shared" si="0"/>
        <v>45000</v>
      </c>
      <c r="G8" s="51">
        <v>1008.55</v>
      </c>
      <c r="H8" s="46">
        <v>63.4</v>
      </c>
      <c r="I8" s="46">
        <v>20.9</v>
      </c>
      <c r="M8" s="21" t="e">
        <f>B8*#REF!</f>
        <v>#NAME?</v>
      </c>
      <c r="N8" s="1" t="n">
        <f>$N$5*D8/'Tính toán'!$D$3</f>
        <v>3342.55635744835</v>
      </c>
    </row>
    <row r="9" spans="1:14" ht="18.600000000000001" customHeight="1" x14ac:dyDescent="0.25">
      <c r="A9" s="13">
        <v>4</v>
      </c>
      <c r="B9" s="46">
        <v>1000.0</v>
      </c>
      <c r="C9" s="47" t="inlineStr">
        <is>
          <t xml:space="preserve">1,2,9,18</t>
        </is>
      </c>
      <c r="D9" s="49">
        <v>59999.956</v>
      </c>
      <c r="E9" s="22">
        <v>0.044</v>
      </c>
      <c r="F9" s="49" t="n">
        <f t="shared" si="0"/>
        <v>60000</v>
      </c>
      <c r="G9" s="51">
        <v>1011.24</v>
      </c>
      <c r="H9" s="46">
        <v>58.5</v>
      </c>
      <c r="I9" s="46">
        <v>20.1</v>
      </c>
      <c r="M9" s="21" t="e">
        <f>B9*#REF!</f>
        <v>#NAME?</v>
      </c>
      <c r="N9" s="1" t="n">
        <f>$N$5*D9/'Tính toán'!$D$3</f>
        <v>4456.74131473729</v>
      </c>
    </row>
    <row r="10" spans="1:14" ht="18.600000000000001" customHeight="1" x14ac:dyDescent="0.25">
      <c r="A10" s="13">
        <v>5</v>
      </c>
      <c r="B10" s="46">
        <v>1250.0</v>
      </c>
      <c r="C10" s="47" t="inlineStr">
        <is>
          <t xml:space="preserve">3,7,15,17</t>
        </is>
      </c>
      <c r="D10" s="49">
        <v>74999.975</v>
      </c>
      <c r="E10" s="22">
        <v>0.025</v>
      </c>
      <c r="F10" s="49" t="n">
        <f t="shared" si="0"/>
        <v>75000</v>
      </c>
      <c r="G10" s="51">
        <v>1010.86</v>
      </c>
      <c r="H10" s="46">
        <v>60.3</v>
      </c>
      <c r="I10" s="46">
        <v>20.4</v>
      </c>
      <c r="M10" s="21" t="e">
        <f>B10*#REF!</f>
        <v>#NAME?</v>
      </c>
      <c r="N10" s="1" t="n">
        <f>$N$5*D10/'Tính toán'!$D$3</f>
        <v>5570.92887179391</v>
      </c>
    </row>
    <row r="11" spans="1:14" ht="18.600000000000001" customHeight="1" x14ac:dyDescent="0.25">
      <c r="A11" s="13">
        <v>6</v>
      </c>
      <c r="B11" s="46">
        <v>1500.0</v>
      </c>
      <c r="C11" s="47" t="inlineStr">
        <is>
          <t xml:space="preserve">1,3,4,9</t>
        </is>
      </c>
      <c r="D11" s="49">
        <v>89999.965</v>
      </c>
      <c r="E11" s="22">
        <v>0.035</v>
      </c>
      <c r="F11" s="49" t="n">
        <f t="shared" si="0"/>
        <v>90000</v>
      </c>
      <c r="G11" s="51">
        <v>1009.67</v>
      </c>
      <c r="H11" s="46">
        <v>55.8</v>
      </c>
      <c r="I11" s="46">
        <v>20.2</v>
      </c>
      <c r="M11" s="21" t="e">
        <f>B11*#REF!</f>
        <v>#NAME?</v>
      </c>
      <c r="N11" s="1" t="n">
        <f>$N$5*D11/'Tính toán'!$D$4</f>
        <v>133691.837179522</v>
      </c>
    </row>
    <row r="12" spans="1:14" ht="18.600000000000001" customHeight="1" x14ac:dyDescent="0.25">
      <c r="A12" s="13">
        <v>7</v>
      </c>
      <c r="B12" s="46">
        <v>1750.0</v>
      </c>
      <c r="C12" s="47" t="inlineStr">
        <is>
          <t xml:space="preserve">2,12</t>
        </is>
      </c>
      <c r="D12" s="49">
        <v>104999.969</v>
      </c>
      <c r="E12" s="22">
        <v>0.031</v>
      </c>
      <c r="F12" s="49" t="n">
        <f t="shared" si="0"/>
        <v>105000</v>
      </c>
      <c r="G12" s="51">
        <v>1005.92</v>
      </c>
      <c r="H12" s="46">
        <v>64.2</v>
      </c>
      <c r="I12" s="46">
        <v>20.1</v>
      </c>
    </row>
    <row r="13" spans="1:14" s="32" customFormat="1" ht="22.5" customHeight="1" x14ac:dyDescent="0.25">
      <c r="A13" s="13">
        <v>8</v>
      </c>
      <c r="B13" s="46">
        <v>2000.0</v>
      </c>
      <c r="C13" s="47" t="inlineStr">
        <is>
          <t xml:space="preserve">5,11,15</t>
        </is>
      </c>
      <c r="D13" s="49">
        <v>119999.961</v>
      </c>
      <c r="E13" s="22">
        <v>0.039</v>
      </c>
      <c r="F13" s="49" t="n">
        <f t="shared" si="0"/>
        <v>120000</v>
      </c>
      <c r="G13" s="51">
        <v>1014.49</v>
      </c>
      <c r="H13" s="46">
        <v>62.1</v>
      </c>
      <c r="I13" s="60">
        <v>20.9</v>
      </c>
      <c r="J13" s="40"/>
    </row>
    <row r="14" spans="1:14" s="34" customFormat="1" ht="22.5" customHeight="1" x14ac:dyDescent="0.25">
      <c r="A14" s="13">
        <v>9</v>
      </c>
      <c r="B14" s="46">
        <v>2250.0</v>
      </c>
      <c r="C14" s="47" t="inlineStr">
        <is>
          <t xml:space="preserve">9,13</t>
        </is>
      </c>
      <c r="D14" s="49">
        <v>134999.996</v>
      </c>
      <c r="E14" s="22">
        <v>0.004</v>
      </c>
      <c r="F14" s="49" t="n">
        <f t="shared" si="0"/>
        <v>135000</v>
      </c>
      <c r="G14" s="51">
        <v>1011.22</v>
      </c>
      <c r="H14" s="46">
        <v>55.9</v>
      </c>
      <c r="I14" s="60">
        <v>20.9</v>
      </c>
      <c r="J14" s="40"/>
    </row>
    <row r="15" spans="1:14" s="35" customFormat="1" ht="22.5" customHeight="1" x14ac:dyDescent="0.25">
      <c r="A15" s="52">
        <v>10</v>
      </c>
      <c r="B15" s="53">
        <v>2500.0</v>
      </c>
      <c r="C15" s="47" t="inlineStr">
        <is>
          <t xml:space="preserve">11,14</t>
        </is>
      </c>
      <c r="D15" s="49">
        <v>149999.997</v>
      </c>
      <c r="E15" s="22">
        <v>0.003</v>
      </c>
      <c r="F15" s="49" t="n">
        <f t="shared" si="0"/>
        <v>150000</v>
      </c>
      <c r="G15" s="51">
        <v>1015.99</v>
      </c>
      <c r="H15" s="46">
        <v>60.8</v>
      </c>
      <c r="I15" s="60">
        <v>20.6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0,59878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787,500 × 10-3 (kG/cm2) </t>
        </is>
      </c>
      <c r="F18" s="31" t="inlineStr">
        <is>
          <t xml:space="preserve">tại p = 1 750,0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1 575,000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5.987777477528005e-06</v>
      </c>
      <c r="J3" s="45">
        <v>5.987777477528005e-06</v>
      </c>
      <c r="K3" s="45">
        <v>5.987777477528005e-06</v>
      </c>
      <c r="L3" s="45">
        <v>5.987777477528005e-06</v>
      </c>
      <c r="M3" s="45">
        <v>5.987777477528005e-06</v>
      </c>
      <c r="R3" s="3">
        <v>1</v>
      </c>
      <c r="S3" s="15">
        <v>84.46322</v>
      </c>
      <c r="T3" t="n">
        <f>(S3*0.001*9.786673*0.00001)/5.987777477528005e-06</f>
        <v>1.38050206068833</v>
      </c>
      <c r="U3" t="n">
        <f>(S3*0.001*0.0001)/5.987777477528005e-06</f>
        <v>1.41059383580951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84.46745</v>
      </c>
      <c r="T4" t="n">
        <f t="shared" ref="T4:T20" si="0">(S4*0.001*9.786673*0.00001)/5.987777477528005e-06</f>
        <v>1.38057119757083</v>
      </c>
      <c r="U4" t="n">
        <f t="shared" ref="U4:U20" si="1">(S4*0.001*0.0001)/5.987777477528005e-06</f>
        <v>1.4106644797173</v>
      </c>
    </row>
    <row r="5" spans="1:21" ht="16.5" x14ac:dyDescent="0.25">
      <c r="H5" t="s">
        <v>113</v>
      </c>
      <c r="I5" s="45" t="n">
        <f>(I4*9.786673*0.00001)/I3</f>
        <v>163.444166666667</v>
      </c>
      <c r="J5" t="n">
        <f t="shared" ref="J5:M5" si="2">(J4*9.786673*0.00001)/J3</f>
        <v>14.709975</v>
      </c>
      <c r="K5" t="n">
        <f t="shared" si="2"/>
        <v>19.6133</v>
      </c>
      <c r="L5" t="n">
        <f t="shared" si="2"/>
        <v>32.6888333333333</v>
      </c>
      <c r="M5" t="n">
        <f t="shared" si="2"/>
        <v>6.53776666666667</v>
      </c>
      <c r="N5" t="n">
        <f>SUM(I5:M5)</f>
        <v>236.994041666667</v>
      </c>
      <c r="R5" s="3">
        <v>3</v>
      </c>
      <c r="S5" s="15">
        <v>168.95616</v>
      </c>
      <c r="T5" t="n">
        <f t="shared" si="0"/>
        <v>2.76148987744</v>
      </c>
      <c r="U5" t="n">
        <f t="shared" si="1"/>
        <v>2.82168401604917</v>
      </c>
    </row>
    <row r="6" spans="1:21" ht="16.5" x14ac:dyDescent="0.25">
      <c r="R6" s="3">
        <v>4</v>
      </c>
      <c r="S6" s="15">
        <v>168.95785</v>
      </c>
      <c r="T6" t="n">
        <f t="shared" si="0"/>
        <v>2.76151749950417</v>
      </c>
      <c r="U6" t="n">
        <f t="shared" si="1"/>
        <v>2.82171224021091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967.530630909091</v>
      </c>
      <c r="R7" s="3">
        <v>5</v>
      </c>
      <c r="S7" s="15">
        <v>422.31389</v>
      </c>
      <c r="T7" t="n">
        <f t="shared" si="0"/>
        <v>6.90247418228083</v>
      </c>
      <c r="U7" t="n">
        <f t="shared" si="1"/>
        <v>7.05293227052833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422.34345</v>
      </c>
      <c r="T8" t="n">
        <f t="shared" si="0"/>
        <v>6.9029573232375</v>
      </c>
      <c r="U8" t="n">
        <f t="shared" si="1"/>
        <v>7.0534259428485</v>
      </c>
    </row>
    <row r="9" spans="1:21" ht="16.5" x14ac:dyDescent="0.25">
      <c r="H9" t="s">
        <v>147</v>
      </c>
      <c r="I9" t="n">
        <f>(0.99985*I7*B7)/I8</f>
        <v>0.0193477100262891</v>
      </c>
      <c r="R9" s="3">
        <v>7</v>
      </c>
      <c r="S9" s="15">
        <v>844.64568</v>
      </c>
      <c r="T9" t="n">
        <f t="shared" si="0"/>
        <v>13.80524092962</v>
      </c>
      <c r="U9" t="n">
        <f t="shared" si="1"/>
        <v>14.1061634833615</v>
      </c>
    </row>
    <row r="10" spans="1:21" ht="16.5" x14ac:dyDescent="0.25">
      <c r="R10" s="3">
        <v>8</v>
      </c>
      <c r="S10" s="15">
        <v>844.7977</v>
      </c>
      <c r="T10" t="n">
        <f t="shared" si="0"/>
        <v>13.8077256078417</v>
      </c>
      <c r="U10" t="n">
        <f t="shared" si="1"/>
        <v>14.1087023218633</v>
      </c>
    </row>
    <row r="11" spans="1:21" ht="16.5" x14ac:dyDescent="0.25">
      <c r="R11" s="3">
        <v>9</v>
      </c>
      <c r="S11" s="15">
        <v>1689.27346</v>
      </c>
      <c r="T11" t="n">
        <f t="shared" si="0"/>
        <v>27.6101892941817</v>
      </c>
      <c r="U11" t="n">
        <f t="shared" si="1"/>
        <v>28.2120280244182</v>
      </c>
    </row>
    <row r="12" spans="1:21" ht="16.5" x14ac:dyDescent="0.25">
      <c r="R12" s="3">
        <v>10</v>
      </c>
      <c r="S12" s="15">
        <v>1689.30724</v>
      </c>
      <c r="T12" t="n">
        <f t="shared" si="0"/>
        <v>27.6107414085767</v>
      </c>
      <c r="U12" t="n">
        <f t="shared" si="1"/>
        <v>28.2125921736393</v>
      </c>
    </row>
    <row r="13" spans="1:21" ht="16.5" x14ac:dyDescent="0.25">
      <c r="R13" s="3">
        <v>11</v>
      </c>
      <c r="S13" s="15">
        <v>4223.31084</v>
      </c>
      <c r="T13" t="n">
        <f t="shared" si="0"/>
        <v>69.02755208181</v>
      </c>
      <c r="U13" t="n">
        <f t="shared" si="1"/>
        <v>70.5321942214785</v>
      </c>
    </row>
    <row r="14" spans="1:21" ht="16.5" x14ac:dyDescent="0.25">
      <c r="R14" s="3">
        <v>12</v>
      </c>
      <c r="S14" s="15">
        <v>4223.81759</v>
      </c>
      <c r="T14" t="n">
        <f t="shared" si="0"/>
        <v>69.0358346149558</v>
      </c>
      <c r="U14" t="n">
        <f t="shared" si="1"/>
        <v>70.5406572948292</v>
      </c>
    </row>
    <row r="15" spans="1:21" ht="16.5" x14ac:dyDescent="0.25">
      <c r="R15" s="3">
        <v>13</v>
      </c>
      <c r="S15" s="15">
        <v>8447.97303</v>
      </c>
      <c r="T15" t="n">
        <f t="shared" si="0"/>
        <v>138.077191191083</v>
      </c>
      <c r="U15" t="n">
        <f t="shared" si="1"/>
        <v>141.086956916904</v>
      </c>
    </row>
    <row r="16" spans="1:21" ht="16.5" x14ac:dyDescent="0.25">
      <c r="R16" s="3">
        <v>14</v>
      </c>
      <c r="S16" s="15">
        <v>8447.04397</v>
      </c>
      <c r="T16" t="n">
        <f t="shared" si="0"/>
        <v>138.062006247334</v>
      </c>
      <c r="U16" t="n">
        <f t="shared" si="1"/>
        <v>141.071440976248</v>
      </c>
    </row>
    <row r="17" spans="15:21" ht="16.5" x14ac:dyDescent="0.25">
      <c r="R17" s="3">
        <v>15</v>
      </c>
      <c r="S17" s="15">
        <v>16893.58119</v>
      </c>
      <c r="T17" t="n">
        <f t="shared" si="0"/>
        <v>276.115729961523</v>
      </c>
      <c r="U17" t="n">
        <f t="shared" si="1"/>
        <v>282.134418879146</v>
      </c>
    </row>
    <row r="18" spans="15:21" ht="16.5" x14ac:dyDescent="0.25">
      <c r="R18" s="3">
        <v>16</v>
      </c>
      <c r="S18" s="15">
        <v>16895.60822</v>
      </c>
      <c r="T18" t="n">
        <f t="shared" si="0"/>
        <v>276.148860584438</v>
      </c>
      <c r="U18" t="n">
        <f t="shared" si="1"/>
        <v>282.168271673569</v>
      </c>
    </row>
    <row r="19" spans="15:21" ht="16.5" x14ac:dyDescent="0.25">
      <c r="R19" s="3">
        <v>17</v>
      </c>
      <c r="S19" s="15">
        <v>42233.95297</v>
      </c>
      <c r="T19" t="n">
        <f t="shared" si="0"/>
        <v>690.289324822084</v>
      </c>
      <c r="U19" t="n">
        <f t="shared" si="1"/>
        <v>705.336047114361</v>
      </c>
    </row>
    <row r="20" spans="15:21" ht="16.5" x14ac:dyDescent="0.25">
      <c r="R20" s="3" t="s">
        <v>108</v>
      </c>
      <c r="S20" s="15">
        <v>42231.84149</v>
      </c>
      <c r="T20" t="n">
        <f t="shared" si="0"/>
        <v>690.254813913181</v>
      </c>
      <c r="U20" t="n">
        <f t="shared" si="1"/>
        <v>705.300783946885</v>
      </c>
    </row>
    <row r="21" spans="15:21" x14ac:dyDescent="0.25">
      <c r="O21" s="48" t="n">
        <f>S3+S4+S5+S6+S7+S8</f>
        <v>1351.50202</v>
      </c>
      <c r="S21" s="48" t="n">
        <f>AVERAGE(S3:S13)</f>
        <v>967.530630909091</v>
      </c>
      <c r="T21" t="n">
        <f>SUM(T3:T20)</f>
        <v>2451.93472279735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